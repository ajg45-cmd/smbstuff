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itpublic\Desktop\"/>
    </mc:Choice>
  </mc:AlternateContent>
  <bookViews>
    <workbookView xWindow="0" yWindow="0" windowWidth="23760" windowHeight="12315" tabRatio="594" firstSheet="1" activeTab="5"/>
  </bookViews>
  <sheets>
    <sheet name="DCF" sheetId="32" state="hidden" r:id="rId1"/>
    <sheet name="DCF (Filled In)" sheetId="31" r:id="rId2"/>
    <sheet name="DCF Analysis (Blank)" sheetId="30" r:id="rId3"/>
    <sheet name="Income Statement" sheetId="1" r:id="rId4"/>
    <sheet name="Cash Flow Statement" sheetId="4" r:id="rId5"/>
    <sheet name="Project Investment Example 1" sheetId="35" r:id="rId6"/>
  </sheets>
  <externalReferences>
    <externalReference r:id="rId7"/>
    <externalReference r:id="rId8"/>
    <externalReference r:id="rId9"/>
  </externalReferences>
  <definedNames>
    <definedName name="_xlnm.Database" localSheetId="5">#REF!</definedName>
    <definedName name="_xlnm.Database">#REF!</definedName>
    <definedName name="M_to_MM" localSheetId="5">'[1]WFM - Wild Oats'!$L$54</definedName>
    <definedName name="M_to_MM">#REF!</definedName>
    <definedName name="_xlnm.Print_Area" localSheetId="4">'Cash Flow Statement'!$B$1:$K$43</definedName>
    <definedName name="_xlnm.Print_Area" localSheetId="3">'Income Statement'!$B$1:$K$50</definedName>
    <definedName name="_xlnm.Print_Titles" localSheetId="3">'Income Statement'!$1:$5</definedName>
  </definedNames>
  <calcPr calcId="162913"/>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9" i="35" l="1"/>
  <c r="F9" i="35"/>
  <c r="E9" i="35"/>
  <c r="B6" i="35" l="1"/>
  <c r="I16" i="31" l="1"/>
  <c r="J16" i="31" s="1"/>
  <c r="K16" i="31" s="1"/>
  <c r="L16" i="31" s="1"/>
  <c r="I16" i="32"/>
  <c r="J16" i="32" s="1"/>
  <c r="K16" i="32" s="1"/>
  <c r="L16" i="32" s="1"/>
  <c r="G34" i="32"/>
  <c r="P31" i="32"/>
  <c r="P24" i="32"/>
  <c r="P28" i="32" s="1"/>
  <c r="M24" i="32"/>
  <c r="G23" i="32"/>
  <c r="N21" i="32"/>
  <c r="N17" i="32"/>
  <c r="K13" i="32" s="1"/>
  <c r="K14" i="32" s="1"/>
  <c r="E5" i="32"/>
  <c r="F5" i="32" s="1"/>
  <c r="G5" i="32" s="1"/>
  <c r="H5" i="32" s="1"/>
  <c r="I5" i="32" s="1"/>
  <c r="J5" i="32" s="1"/>
  <c r="K5" i="32" s="1"/>
  <c r="L5" i="32" s="1"/>
  <c r="H13" i="32" l="1"/>
  <c r="H14" i="32" s="1"/>
  <c r="L13" i="32"/>
  <c r="L14" i="32" s="1"/>
  <c r="I13" i="32"/>
  <c r="I14" i="32" s="1"/>
  <c r="P30" i="32"/>
  <c r="J13" i="32"/>
  <c r="J14" i="32" s="1"/>
  <c r="G34" i="31"/>
  <c r="P24" i="31"/>
  <c r="P30" i="31" s="1"/>
  <c r="M24" i="31"/>
  <c r="N21" i="31"/>
  <c r="G21" i="31"/>
  <c r="G23" i="31" s="1"/>
  <c r="N17" i="31"/>
  <c r="K13" i="31" s="1"/>
  <c r="K14" i="31" s="1"/>
  <c r="E5" i="31"/>
  <c r="F5" i="31" s="1"/>
  <c r="G5" i="31" s="1"/>
  <c r="H5" i="31" s="1"/>
  <c r="I5" i="31" s="1"/>
  <c r="J5" i="31" s="1"/>
  <c r="K5" i="31" s="1"/>
  <c r="L5" i="31" s="1"/>
  <c r="P28" i="31" l="1"/>
  <c r="G28" i="32"/>
  <c r="G29" i="32" s="1"/>
  <c r="P32" i="32"/>
  <c r="Q31" i="32" s="1"/>
  <c r="Q30" i="32"/>
  <c r="M28" i="32" s="1"/>
  <c r="H13" i="31"/>
  <c r="H14" i="31" s="1"/>
  <c r="L13" i="31"/>
  <c r="L14" i="31" s="1"/>
  <c r="G33" i="31"/>
  <c r="J13" i="31"/>
  <c r="J14" i="31" s="1"/>
  <c r="P31" i="31"/>
  <c r="I13" i="31"/>
  <c r="I14" i="31" s="1"/>
  <c r="P17" i="32" l="1"/>
  <c r="G24" i="32"/>
  <c r="G26" i="31"/>
  <c r="P32" i="31"/>
  <c r="Q30" i="31" s="1"/>
  <c r="G36" i="32" l="1"/>
  <c r="Q31" i="31"/>
  <c r="M28" i="31" s="1"/>
  <c r="G17" i="31" s="1"/>
  <c r="H17" i="31" l="1"/>
  <c r="I17" i="31"/>
  <c r="L17" i="31"/>
  <c r="K17" i="31"/>
  <c r="J17" i="31"/>
  <c r="G35" i="32"/>
  <c r="P17" i="31"/>
  <c r="G24" i="31"/>
  <c r="G28" i="31"/>
  <c r="G29" i="31" s="1"/>
  <c r="H18" i="31" l="1"/>
  <c r="G31" i="31" s="1"/>
  <c r="G35" i="31" s="1"/>
  <c r="O23" i="30"/>
  <c r="F35" i="30"/>
  <c r="F21" i="30"/>
  <c r="E4" i="30"/>
  <c r="F4" i="30" s="1"/>
  <c r="G4" i="30" s="1"/>
  <c r="H4" i="30" s="1"/>
  <c r="I4" i="30" s="1"/>
  <c r="J4" i="30" s="1"/>
  <c r="K4" i="30" s="1"/>
  <c r="A2" i="30"/>
  <c r="G32" i="31" l="1"/>
  <c r="G36" i="31" s="1"/>
  <c r="F23" i="30"/>
  <c r="F24" i="30" l="1"/>
  <c r="E33" i="30" s="1"/>
  <c r="I40" i="4" l="1"/>
  <c r="H40" i="4"/>
  <c r="G40" i="4"/>
  <c r="F30" i="4" l="1"/>
  <c r="E30" i="4"/>
  <c r="D30" i="4"/>
  <c r="F27" i="4"/>
  <c r="E27" i="4"/>
  <c r="D27" i="4"/>
  <c r="F19" i="4" l="1"/>
  <c r="E19" i="4"/>
  <c r="D19" i="4"/>
  <c r="D20" i="4" s="1"/>
  <c r="D5" i="4" l="1"/>
  <c r="D57" i="1" l="1"/>
  <c r="K39" i="1" l="1"/>
  <c r="J39" i="1"/>
  <c r="I39" i="1"/>
  <c r="H39" i="1"/>
  <c r="G39" i="1"/>
  <c r="F39" i="1"/>
  <c r="E39" i="1"/>
  <c r="D39" i="1"/>
  <c r="F30" i="1"/>
  <c r="E30" i="1"/>
  <c r="D30" i="1"/>
  <c r="F19" i="1" l="1"/>
  <c r="E19" i="1"/>
  <c r="D19" i="1"/>
  <c r="F14" i="1"/>
  <c r="E14" i="1"/>
  <c r="D14" i="1"/>
  <c r="D15" i="1" s="1"/>
  <c r="F11" i="1"/>
  <c r="G11" i="1" s="1"/>
  <c r="E11" i="1"/>
  <c r="D11" i="1"/>
  <c r="F10" i="1"/>
  <c r="E10" i="1"/>
  <c r="F8" i="1"/>
  <c r="E8" i="1"/>
  <c r="E5" i="1"/>
  <c r="E16" i="1" l="1"/>
  <c r="H11" i="1"/>
  <c r="I11" i="1" s="1"/>
  <c r="I19" i="1" s="1"/>
  <c r="G14" i="1"/>
  <c r="D16" i="1"/>
  <c r="D21" i="1" s="1"/>
  <c r="D24" i="1" s="1"/>
  <c r="D31" i="1" s="1"/>
  <c r="D35" i="1" s="1"/>
  <c r="E20" i="1"/>
  <c r="E15" i="1"/>
  <c r="D20" i="1"/>
  <c r="E21" i="1"/>
  <c r="E17" i="1"/>
  <c r="E5" i="4"/>
  <c r="F23" i="4"/>
  <c r="E23" i="4" s="1"/>
  <c r="D23" i="4" s="1"/>
  <c r="F12" i="1"/>
  <c r="E12" i="1"/>
  <c r="F15" i="1"/>
  <c r="H19" i="1"/>
  <c r="F16" i="1"/>
  <c r="G19" i="1"/>
  <c r="F5" i="1"/>
  <c r="F20" i="1"/>
  <c r="D32" i="1" l="1"/>
  <c r="D34" i="1"/>
  <c r="J11" i="1"/>
  <c r="J27" i="4" s="1"/>
  <c r="I14" i="1"/>
  <c r="I16" i="1" s="1"/>
  <c r="H14" i="1"/>
  <c r="H16" i="1" s="1"/>
  <c r="G16" i="1"/>
  <c r="G21" i="1" s="1"/>
  <c r="D17" i="1"/>
  <c r="F17" i="1"/>
  <c r="F21" i="1"/>
  <c r="E24" i="1"/>
  <c r="E22" i="1"/>
  <c r="D22" i="1" s="1"/>
  <c r="F5" i="4"/>
  <c r="G5" i="1"/>
  <c r="G27" i="4"/>
  <c r="G17" i="1" l="1"/>
  <c r="H27" i="4"/>
  <c r="I27" i="4"/>
  <c r="J19" i="1"/>
  <c r="I17" i="1"/>
  <c r="I21" i="1"/>
  <c r="K11" i="1"/>
  <c r="J14" i="1"/>
  <c r="J16" i="1" s="1"/>
  <c r="E25" i="1"/>
  <c r="D25" i="1" s="1"/>
  <c r="E31" i="1"/>
  <c r="F24" i="1"/>
  <c r="F31" i="1" s="1"/>
  <c r="F22" i="1"/>
  <c r="G5" i="4"/>
  <c r="H5" i="1"/>
  <c r="H21" i="1"/>
  <c r="H17" i="1"/>
  <c r="D40" i="1"/>
  <c r="F20" i="4"/>
  <c r="E20" i="4"/>
  <c r="F39" i="4"/>
  <c r="E39" i="4"/>
  <c r="D39" i="4"/>
  <c r="D41" i="4" s="1"/>
  <c r="K40" i="4" s="1"/>
  <c r="J40" i="4" s="1"/>
  <c r="J17" i="1" l="1"/>
  <c r="J21" i="1"/>
  <c r="K19" i="1"/>
  <c r="K14" i="1"/>
  <c r="F35" i="1"/>
  <c r="F40" i="1" s="1"/>
  <c r="F44" i="1" s="1"/>
  <c r="F34" i="1"/>
  <c r="H5" i="4"/>
  <c r="I5" i="1"/>
  <c r="E32" i="1"/>
  <c r="E34" i="1"/>
  <c r="E35" i="1"/>
  <c r="E40" i="1" s="1"/>
  <c r="E43" i="1" s="1"/>
  <c r="F32" i="1"/>
  <c r="F41" i="4"/>
  <c r="D44" i="1"/>
  <c r="D43" i="1"/>
  <c r="E41" i="4"/>
  <c r="K27" i="4" l="1"/>
  <c r="F43" i="1"/>
  <c r="K16" i="1"/>
  <c r="K17" i="1" s="1"/>
  <c r="E44" i="1"/>
  <c r="I5" i="4"/>
  <c r="J5" i="1"/>
  <c r="K21" i="1" l="1"/>
  <c r="K22" i="1" s="1"/>
  <c r="J22" i="1" s="1"/>
  <c r="I22" i="1" s="1"/>
  <c r="H22" i="1" s="1"/>
  <c r="G22" i="1" s="1"/>
  <c r="J5" i="4"/>
  <c r="K5" i="1"/>
  <c r="J24" i="1"/>
  <c r="K24" i="1"/>
  <c r="K25" i="1" l="1"/>
  <c r="K5" i="4"/>
  <c r="J25" i="1"/>
  <c r="H24" i="1" l="1"/>
  <c r="I24" i="1"/>
  <c r="G24" i="1" l="1"/>
  <c r="H25" i="1"/>
  <c r="I25" i="1"/>
  <c r="G25" i="1" l="1"/>
  <c r="F25" i="1" s="1"/>
  <c r="I13" i="30" l="1"/>
  <c r="I16" i="30" s="1"/>
  <c r="H13" i="30"/>
  <c r="H16" i="30" s="1"/>
  <c r="K13" i="30"/>
  <c r="K16" i="30" s="1"/>
  <c r="J13" i="30"/>
  <c r="J16" i="30" s="1"/>
  <c r="G13" i="30"/>
  <c r="G16" i="30" s="1"/>
  <c r="F26" i="30" l="1"/>
  <c r="F28" i="30" s="1"/>
  <c r="F29" i="30" s="1"/>
  <c r="F33" i="30" s="1"/>
  <c r="G17" i="30"/>
  <c r="E32" i="30" s="1"/>
  <c r="E34" i="30" s="1"/>
  <c r="E36" i="30" s="1"/>
  <c r="E38" i="30" s="1"/>
  <c r="J19" i="4"/>
  <c r="K19" i="4"/>
  <c r="K20" i="4" s="1"/>
  <c r="J20" i="4"/>
  <c r="H19" i="4"/>
  <c r="H20" i="4" s="1"/>
  <c r="H43" i="4" s="1"/>
  <c r="I19" i="4"/>
  <c r="G19" i="4"/>
  <c r="F32" i="30" l="1"/>
  <c r="F34" i="30" s="1"/>
  <c r="F36" i="30" s="1"/>
  <c r="F38" i="30" s="1"/>
  <c r="G20" i="4"/>
  <c r="K43" i="4"/>
  <c r="I20" i="4"/>
  <c r="J43" i="4"/>
  <c r="I43" i="4" l="1"/>
  <c r="G43" i="4"/>
  <c r="G39" i="4" l="1"/>
  <c r="G41" i="4" s="1"/>
  <c r="G30" i="1" l="1"/>
  <c r="G31" i="1" s="1"/>
  <c r="G32" i="1" l="1"/>
  <c r="G33" i="1"/>
  <c r="H39" i="4" l="1"/>
  <c r="H41" i="4" s="1"/>
  <c r="G35" i="1"/>
  <c r="G40" i="1" s="1"/>
  <c r="H30" i="1" l="1"/>
  <c r="H31" i="1" s="1"/>
  <c r="G42" i="1"/>
  <c r="G44" i="1" s="1"/>
  <c r="H33" i="1" l="1"/>
  <c r="H32" i="1"/>
  <c r="I39" i="4" l="1"/>
  <c r="I41" i="4" s="1"/>
  <c r="H35" i="1"/>
  <c r="H40" i="1" s="1"/>
  <c r="I30" i="1" l="1"/>
  <c r="I31" i="1" s="1"/>
  <c r="H42" i="1"/>
  <c r="H44" i="1" s="1"/>
  <c r="I32" i="1" l="1"/>
  <c r="I33" i="1"/>
  <c r="I35" i="1" l="1"/>
  <c r="I40" i="1" s="1"/>
  <c r="I42" i="1" s="1"/>
  <c r="J39" i="4"/>
  <c r="J41" i="4" s="1"/>
  <c r="I44" i="1" l="1"/>
  <c r="J30" i="1"/>
  <c r="J31" i="1" s="1"/>
  <c r="J33" i="1" l="1"/>
  <c r="J32" i="1"/>
  <c r="J35" i="1" l="1"/>
  <c r="J40" i="1" s="1"/>
  <c r="J42" i="1" s="1"/>
  <c r="J44" i="1" s="1"/>
  <c r="K39" i="4"/>
  <c r="K41" i="4" s="1"/>
  <c r="K30" i="1" l="1"/>
  <c r="K31" i="1" s="1"/>
  <c r="K32" i="1" l="1"/>
  <c r="K33" i="1"/>
  <c r="K35" i="1" l="1"/>
  <c r="K40" i="1" s="1"/>
  <c r="K42" i="1" l="1"/>
  <c r="K44" i="1" s="1"/>
</calcChain>
</file>

<file path=xl/comments1.xml><?xml version="1.0" encoding="utf-8"?>
<comments xmlns="http://schemas.openxmlformats.org/spreadsheetml/2006/main">
  <authors>
    <author>Eric</author>
    <author>obed cepeda</author>
  </authors>
  <commentList>
    <comment ref="H14" authorId="0" shapeId="0">
      <text>
        <r>
          <rPr>
            <b/>
            <sz val="9"/>
            <color indexed="81"/>
            <rFont val="Tahoma"/>
            <family val="2"/>
          </rPr>
          <t>Eric:</t>
        </r>
        <r>
          <rPr>
            <sz val="9"/>
            <color indexed="81"/>
            <rFont val="Tahoma"/>
            <family val="2"/>
          </rPr>
          <t xml:space="preserve">
Sum of Unlevered Cash Flow Items
</t>
        </r>
      </text>
    </comment>
    <comment ref="I14" authorId="0" shapeId="0">
      <text>
        <r>
          <rPr>
            <b/>
            <sz val="9"/>
            <color indexed="81"/>
            <rFont val="Tahoma"/>
            <family val="2"/>
          </rPr>
          <t>Eric:</t>
        </r>
        <r>
          <rPr>
            <sz val="9"/>
            <color indexed="81"/>
            <rFont val="Tahoma"/>
            <family val="2"/>
          </rPr>
          <t xml:space="preserve">
Sum of Unlevered Cash Flow Items</t>
        </r>
      </text>
    </comment>
    <comment ref="J14" authorId="0" shapeId="0">
      <text>
        <r>
          <rPr>
            <b/>
            <sz val="9"/>
            <color indexed="81"/>
            <rFont val="Tahoma"/>
            <family val="2"/>
          </rPr>
          <t>Eric:</t>
        </r>
        <r>
          <rPr>
            <sz val="9"/>
            <color indexed="81"/>
            <rFont val="Tahoma"/>
            <family val="2"/>
          </rPr>
          <t xml:space="preserve">
Sum of Unlevered Cash Flow Items</t>
        </r>
      </text>
    </comment>
    <comment ref="K14" authorId="0" shapeId="0">
      <text>
        <r>
          <rPr>
            <b/>
            <sz val="9"/>
            <color indexed="81"/>
            <rFont val="Tahoma"/>
            <family val="2"/>
          </rPr>
          <t>Eric:</t>
        </r>
        <r>
          <rPr>
            <sz val="9"/>
            <color indexed="81"/>
            <rFont val="Tahoma"/>
            <family val="2"/>
          </rPr>
          <t xml:space="preserve">
Sum of Unlevered Cash Flow Items</t>
        </r>
      </text>
    </comment>
    <comment ref="L14" authorId="0" shapeId="0">
      <text>
        <r>
          <rPr>
            <b/>
            <sz val="9"/>
            <color indexed="81"/>
            <rFont val="Tahoma"/>
            <family val="2"/>
          </rPr>
          <t>Eric:</t>
        </r>
        <r>
          <rPr>
            <sz val="9"/>
            <color indexed="81"/>
            <rFont val="Tahoma"/>
            <family val="2"/>
          </rPr>
          <t xml:space="preserve">
Sum of Unlevered Cash Flow Items</t>
        </r>
      </text>
    </comment>
    <comment ref="P15" authorId="0" shapeId="0">
      <text>
        <r>
          <rPr>
            <b/>
            <sz val="9"/>
            <color indexed="81"/>
            <rFont val="Tahoma"/>
            <family val="2"/>
          </rPr>
          <t>Eric:</t>
        </r>
        <r>
          <rPr>
            <sz val="9"/>
            <color indexed="81"/>
            <rFont val="Tahoma"/>
            <family val="2"/>
          </rPr>
          <t xml:space="preserve">
Show NPV Shortcut Below</t>
        </r>
      </text>
    </comment>
    <comment ref="G17" authorId="1" shapeId="0">
      <text>
        <r>
          <rPr>
            <b/>
            <sz val="8"/>
            <color indexed="81"/>
            <rFont val="Tahoma"/>
            <family val="2"/>
          </rPr>
          <t>Analyst Exchange:</t>
        </r>
        <r>
          <rPr>
            <sz val="8"/>
            <color indexed="81"/>
            <rFont val="Tahoma"/>
            <family val="2"/>
          </rPr>
          <t xml:space="preserve">
Will be the Cost of Equity and/or Cost of Debt; most commonly calculated by Weighted Average Coast of Capital (WACC).</t>
        </r>
      </text>
    </comment>
    <comment ref="H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I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J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K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L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H18" authorId="1" shapeId="0">
      <text>
        <r>
          <rPr>
            <b/>
            <sz val="8"/>
            <color indexed="81"/>
            <rFont val="Tahoma"/>
            <family val="2"/>
          </rPr>
          <t>Analyst Exchange:</t>
        </r>
        <r>
          <rPr>
            <sz val="8"/>
            <color indexed="81"/>
            <rFont val="Tahoma"/>
            <family val="2"/>
          </rPr>
          <t xml:space="preserve">
Sum of all Discounted Value (Discounted NPV's) from 2009 to 2015 (last year or terminal year) on model. The second part of this analysis is to value the company beyond 2015 the last or terminal year on our model using either the Perpetuity Method or EBITDA Method.</t>
        </r>
      </text>
    </comment>
    <comment ref="M21" authorId="1" shapeId="0">
      <text>
        <r>
          <rPr>
            <b/>
            <sz val="8"/>
            <color indexed="81"/>
            <rFont val="Tahoma"/>
            <family val="2"/>
          </rPr>
          <t>Analyst Exchange:</t>
        </r>
        <r>
          <rPr>
            <sz val="8"/>
            <color indexed="81"/>
            <rFont val="Tahoma"/>
            <family val="2"/>
          </rPr>
          <t xml:space="preserve">
You can use the 10-year or 30-year US Treasury Note. Wherever you would have parked your cash at essentially zero risk (The RISK Free Rate).</t>
        </r>
      </text>
    </comment>
    <comment ref="G22" authorId="1" shapeId="0">
      <text>
        <r>
          <rPr>
            <b/>
            <sz val="8"/>
            <color indexed="81"/>
            <rFont val="Tahoma"/>
            <family val="2"/>
          </rPr>
          <t xml:space="preserve">Anex:
</t>
        </r>
        <r>
          <rPr>
            <sz val="8"/>
            <color indexed="81"/>
            <rFont val="Tahoma"/>
            <family val="2"/>
          </rPr>
          <t>Average of comparable companies EV/EBITDA Valuation Multiples (Hotel Sector Average).</t>
        </r>
        <r>
          <rPr>
            <sz val="8"/>
            <color indexed="81"/>
            <rFont val="Tahoma"/>
            <family val="2"/>
          </rPr>
          <t xml:space="preserve">
</t>
        </r>
      </text>
    </comment>
    <comment ref="M22" authorId="1" shapeId="0">
      <text>
        <r>
          <rPr>
            <b/>
            <sz val="8"/>
            <color indexed="81"/>
            <rFont val="Tahoma"/>
            <family val="2"/>
          </rPr>
          <t>Analyst Exchange:</t>
        </r>
        <r>
          <rPr>
            <sz val="8"/>
            <color indexed="81"/>
            <rFont val="Tahoma"/>
            <family val="2"/>
          </rPr>
          <t xml:space="preserve">
You can use the 10-year or 30-year US Treasury Note. Wherever you would have parked your cash at essentially zero risk (The RISK Free Rate).</t>
        </r>
      </text>
    </comment>
    <comment ref="M23" authorId="1" shapeId="0">
      <text>
        <r>
          <rPr>
            <b/>
            <sz val="8"/>
            <color indexed="81"/>
            <rFont val="Tahoma"/>
            <family val="2"/>
          </rPr>
          <t>Analyst Exchange:</t>
        </r>
        <r>
          <rPr>
            <sz val="8"/>
            <color indexed="81"/>
            <rFont val="Tahoma"/>
            <family val="2"/>
          </rPr>
          <t xml:space="preserve">
An asset with a beta of 0 means that its price is not at all correlated with the market; that asset is independent. A positive beta means that the asset generally follows the market. A negative beta shows that the asset inversely follows the market; the asset generally decreases in value if the market goes up.</t>
        </r>
      </text>
    </comment>
    <comment ref="M24" authorId="1" shapeId="0">
      <text>
        <r>
          <rPr>
            <b/>
            <sz val="8"/>
            <color indexed="81"/>
            <rFont val="Tahoma"/>
            <family val="2"/>
          </rPr>
          <t>Analyst Exchange:</t>
        </r>
        <r>
          <rPr>
            <sz val="8"/>
            <color indexed="81"/>
            <rFont val="Tahoma"/>
            <family val="2"/>
          </rPr>
          <t xml:space="preserve">
</t>
        </r>
        <r>
          <rPr>
            <u/>
            <sz val="8"/>
            <color indexed="81"/>
            <rFont val="Tahoma"/>
            <family val="2"/>
          </rPr>
          <t>Capital Asset Pricing Model (</t>
        </r>
        <r>
          <rPr>
            <b/>
            <u/>
            <sz val="8"/>
            <color indexed="81"/>
            <rFont val="Tahoma"/>
            <family val="2"/>
          </rPr>
          <t>CAPM</t>
        </r>
        <r>
          <rPr>
            <u/>
            <sz val="8"/>
            <color indexed="81"/>
            <rFont val="Tahoma"/>
            <family val="2"/>
          </rPr>
          <t>): The Discount Rate Revisited</t>
        </r>
        <r>
          <rPr>
            <sz val="8"/>
            <color indexed="81"/>
            <rFont val="Tahoma"/>
            <family val="2"/>
          </rPr>
          <t xml:space="preserve">
• The Capital Asset Pricing Model: Classifies risk into two parts: systematic risk and unsystematic risk. Systematic risk is unavoidable. Unsystematic risk is that portion of risk that can be diversified away, and thus will not be paid for by investors.
• The </t>
        </r>
        <r>
          <rPr>
            <b/>
            <sz val="8"/>
            <color indexed="81"/>
            <rFont val="Tahoma"/>
            <family val="2"/>
          </rPr>
          <t>CAPM</t>
        </r>
        <r>
          <rPr>
            <sz val="8"/>
            <color indexed="81"/>
            <rFont val="Tahoma"/>
            <family val="2"/>
          </rPr>
          <t xml:space="preserve"> concludes that the assumption of systematic risk is rewarded with a risk premium, which is an expected return above and beyond the risk free rate of return. The size of the risk premium is linearly proportional to the amount of risk taken. Therefore, the CAPM defines the cost of equity as equaling the risk-free rate plus an amount of systematic risk an investor assumes.
• </t>
        </r>
        <r>
          <rPr>
            <b/>
            <sz val="8"/>
            <color indexed="81"/>
            <rFont val="Tahoma"/>
            <family val="2"/>
          </rPr>
          <t>The CAPM formula</t>
        </r>
        <r>
          <rPr>
            <sz val="8"/>
            <color indexed="81"/>
            <rFont val="Tahoma"/>
            <family val="2"/>
          </rPr>
          <t xml:space="preserve">: The Cost of Equity = Risk-free rate + (Beta(ß) * Market Risk Premium) 
</t>
        </r>
      </text>
    </comment>
    <comment ref="M26" authorId="1" shapeId="0">
      <text>
        <r>
          <rPr>
            <b/>
            <sz val="8"/>
            <color indexed="81"/>
            <rFont val="Tahoma"/>
            <family val="2"/>
          </rPr>
          <t>Analyst Exchange:</t>
        </r>
        <r>
          <rPr>
            <sz val="8"/>
            <color indexed="81"/>
            <rFont val="Tahoma"/>
            <family val="2"/>
          </rPr>
          <t xml:space="preserve">
You can use the 10-year or 30-year US Treasury Note. Wherever you would have parked your cash at essentially zero risk (The RISK Free Rate).</t>
        </r>
      </text>
    </comment>
    <comment ref="G28" authorId="1" shapeId="0">
      <text>
        <r>
          <rPr>
            <b/>
            <sz val="8"/>
            <color indexed="81"/>
            <rFont val="Tahoma"/>
            <family val="2"/>
          </rPr>
          <t>Perpetuity Formula</t>
        </r>
        <r>
          <rPr>
            <sz val="8"/>
            <color indexed="81"/>
            <rFont val="Tahoma"/>
            <family val="2"/>
          </rPr>
          <t xml:space="preserve"> = Unlevered Free Cash *(1+Growth Rate)/(Discount Rate minus Growth Rate)</t>
        </r>
      </text>
    </comment>
    <comment ref="M28" authorId="1" shapeId="0">
      <text>
        <r>
          <rPr>
            <b/>
            <sz val="8"/>
            <color indexed="81"/>
            <rFont val="Tahoma"/>
            <family val="2"/>
          </rPr>
          <t>Analyst Exchange:</t>
        </r>
        <r>
          <rPr>
            <sz val="8"/>
            <color indexed="81"/>
            <rFont val="Tahoma"/>
            <family val="2"/>
          </rPr>
          <t xml:space="preserve">
Ex. Cost of Equity * Market value of common equity / (Market value of common equity + Market value of debt + Market value of preferred equity).</t>
        </r>
      </text>
    </comment>
  </commentList>
</comments>
</file>

<file path=xl/comments2.xml><?xml version="1.0" encoding="utf-8"?>
<comments xmlns="http://schemas.openxmlformats.org/spreadsheetml/2006/main">
  <authors>
    <author>Eric</author>
    <author>obed cepeda</author>
  </authors>
  <commentList>
    <comment ref="H14" authorId="0" shapeId="0">
      <text>
        <r>
          <rPr>
            <b/>
            <sz val="9"/>
            <color indexed="81"/>
            <rFont val="Tahoma"/>
            <family val="2"/>
          </rPr>
          <t>Eric:</t>
        </r>
        <r>
          <rPr>
            <sz val="9"/>
            <color indexed="81"/>
            <rFont val="Tahoma"/>
            <family val="2"/>
          </rPr>
          <t xml:space="preserve">
Sum of Unlevered Cash Flow Items
</t>
        </r>
      </text>
    </comment>
    <comment ref="I14" authorId="0" shapeId="0">
      <text>
        <r>
          <rPr>
            <b/>
            <sz val="9"/>
            <color indexed="81"/>
            <rFont val="Tahoma"/>
            <family val="2"/>
          </rPr>
          <t>Eric:</t>
        </r>
        <r>
          <rPr>
            <sz val="9"/>
            <color indexed="81"/>
            <rFont val="Tahoma"/>
            <family val="2"/>
          </rPr>
          <t xml:space="preserve">
Sum of Unlevered Cash Flow Items</t>
        </r>
      </text>
    </comment>
    <comment ref="J14" authorId="0" shapeId="0">
      <text>
        <r>
          <rPr>
            <b/>
            <sz val="9"/>
            <color indexed="81"/>
            <rFont val="Tahoma"/>
            <family val="2"/>
          </rPr>
          <t>Eric:</t>
        </r>
        <r>
          <rPr>
            <sz val="9"/>
            <color indexed="81"/>
            <rFont val="Tahoma"/>
            <family val="2"/>
          </rPr>
          <t xml:space="preserve">
Sum of Unlevered Cash Flow Items</t>
        </r>
      </text>
    </comment>
    <comment ref="K14" authorId="0" shapeId="0">
      <text>
        <r>
          <rPr>
            <b/>
            <sz val="9"/>
            <color indexed="81"/>
            <rFont val="Tahoma"/>
            <family val="2"/>
          </rPr>
          <t>Eric:</t>
        </r>
        <r>
          <rPr>
            <sz val="9"/>
            <color indexed="81"/>
            <rFont val="Tahoma"/>
            <family val="2"/>
          </rPr>
          <t xml:space="preserve">
Sum of Unlevered Cash Flow Items</t>
        </r>
      </text>
    </comment>
    <comment ref="L14" authorId="0" shapeId="0">
      <text>
        <r>
          <rPr>
            <b/>
            <sz val="9"/>
            <color indexed="81"/>
            <rFont val="Tahoma"/>
            <family val="2"/>
          </rPr>
          <t>Eric:</t>
        </r>
        <r>
          <rPr>
            <sz val="9"/>
            <color indexed="81"/>
            <rFont val="Tahoma"/>
            <family val="2"/>
          </rPr>
          <t xml:space="preserve">
Sum of Unlevered Cash Flow Items</t>
        </r>
      </text>
    </comment>
    <comment ref="P15" authorId="0" shapeId="0">
      <text>
        <r>
          <rPr>
            <b/>
            <sz val="9"/>
            <color indexed="81"/>
            <rFont val="Tahoma"/>
            <family val="2"/>
          </rPr>
          <t>Eric:</t>
        </r>
        <r>
          <rPr>
            <sz val="9"/>
            <color indexed="81"/>
            <rFont val="Tahoma"/>
            <family val="2"/>
          </rPr>
          <t xml:space="preserve">
Show NPV Shortcut Below</t>
        </r>
      </text>
    </comment>
    <comment ref="G17" authorId="1" shapeId="0">
      <text>
        <r>
          <rPr>
            <b/>
            <sz val="8"/>
            <color indexed="81"/>
            <rFont val="Tahoma"/>
            <family val="2"/>
          </rPr>
          <t>Analyst Exchange:</t>
        </r>
        <r>
          <rPr>
            <sz val="8"/>
            <color indexed="81"/>
            <rFont val="Tahoma"/>
            <family val="2"/>
          </rPr>
          <t xml:space="preserve">
Will be the Cost of Equity and/or Cost of Debt; most commonly calculated by Weighted Average Coast of Capital (WACC).</t>
        </r>
      </text>
    </comment>
    <comment ref="H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I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J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K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L17" authorId="1" shapeId="0">
      <text>
        <r>
          <rPr>
            <b/>
            <sz val="8"/>
            <color indexed="81"/>
            <rFont val="Tahoma"/>
            <family val="2"/>
          </rPr>
          <t>Analyst Exchange:</t>
        </r>
        <r>
          <rPr>
            <sz val="8"/>
            <color indexed="81"/>
            <rFont val="Tahoma"/>
            <family val="2"/>
          </rPr>
          <t xml:space="preserve">
Net Present Value = N/(1+Discount Rate)^Time. Where N is the Cash Flow </t>
        </r>
      </text>
    </comment>
    <comment ref="H18" authorId="1" shapeId="0">
      <text>
        <r>
          <rPr>
            <b/>
            <sz val="8"/>
            <color indexed="81"/>
            <rFont val="Tahoma"/>
            <family val="2"/>
          </rPr>
          <t>Analyst Exchange:</t>
        </r>
        <r>
          <rPr>
            <sz val="8"/>
            <color indexed="81"/>
            <rFont val="Tahoma"/>
            <family val="2"/>
          </rPr>
          <t xml:space="preserve">
Sum of all Discounted Value (Discounted NPV's) from 2009 to 2015 (last year or terminal year) on model. The second part of this analysis is to value the company beyond 2015 the last or terminal year on our model using either the Perpetuity Method or EBITDA Method.</t>
        </r>
      </text>
    </comment>
    <comment ref="M21" authorId="1" shapeId="0">
      <text>
        <r>
          <rPr>
            <b/>
            <sz val="8"/>
            <color indexed="81"/>
            <rFont val="Tahoma"/>
            <family val="2"/>
          </rPr>
          <t>Analyst Exchange:</t>
        </r>
        <r>
          <rPr>
            <sz val="8"/>
            <color indexed="81"/>
            <rFont val="Tahoma"/>
            <family val="2"/>
          </rPr>
          <t xml:space="preserve">
You can use the 10-year or 30-year US Treasury Note. Wherever you would have parked your cash at essentially zero risk (The RISK Free Rate).</t>
        </r>
      </text>
    </comment>
    <comment ref="G22" authorId="1" shapeId="0">
      <text>
        <r>
          <rPr>
            <b/>
            <sz val="8"/>
            <color indexed="81"/>
            <rFont val="Tahoma"/>
            <family val="2"/>
          </rPr>
          <t xml:space="preserve">Anex:
</t>
        </r>
        <r>
          <rPr>
            <sz val="8"/>
            <color indexed="81"/>
            <rFont val="Tahoma"/>
            <family val="2"/>
          </rPr>
          <t xml:space="preserve">Average of comparable companies EV/EBITDA Valuation Multiples (Retail - Apparel &amp; Specialty Sector Average).
</t>
        </r>
      </text>
    </comment>
    <comment ref="M22" authorId="1" shapeId="0">
      <text>
        <r>
          <rPr>
            <b/>
            <sz val="8"/>
            <color indexed="81"/>
            <rFont val="Tahoma"/>
            <family val="2"/>
          </rPr>
          <t>Analyst Exchange:</t>
        </r>
        <r>
          <rPr>
            <sz val="8"/>
            <color indexed="81"/>
            <rFont val="Tahoma"/>
            <family val="2"/>
          </rPr>
          <t xml:space="preserve">
You can use the 10-year or 30-year US Treasury Note. Wherever you would have parked your cash at essentially zero risk (The RISK Free Rate).</t>
        </r>
      </text>
    </comment>
    <comment ref="M23" authorId="1" shapeId="0">
      <text>
        <r>
          <rPr>
            <b/>
            <sz val="8"/>
            <color indexed="81"/>
            <rFont val="Tahoma"/>
            <family val="2"/>
          </rPr>
          <t>Analyst Exchange:</t>
        </r>
        <r>
          <rPr>
            <sz val="8"/>
            <color indexed="81"/>
            <rFont val="Tahoma"/>
            <family val="2"/>
          </rPr>
          <t xml:space="preserve">
An asset with a beta of 0 means that its price is not at all correlated with the market; that asset is independent. A positive beta means that the asset generally follows the market. A negative beta shows that the asset inversely follows the market; the asset generally decreases in value if the market goes up.</t>
        </r>
      </text>
    </comment>
    <comment ref="M24" authorId="1" shapeId="0">
      <text>
        <r>
          <rPr>
            <b/>
            <sz val="8"/>
            <color indexed="81"/>
            <rFont val="Tahoma"/>
            <family val="2"/>
          </rPr>
          <t>Analyst Exchange:</t>
        </r>
        <r>
          <rPr>
            <sz val="8"/>
            <color indexed="81"/>
            <rFont val="Tahoma"/>
            <family val="2"/>
          </rPr>
          <t xml:space="preserve">
</t>
        </r>
        <r>
          <rPr>
            <u/>
            <sz val="8"/>
            <color indexed="81"/>
            <rFont val="Tahoma"/>
            <family val="2"/>
          </rPr>
          <t>Capital Asset Pricing Model (</t>
        </r>
        <r>
          <rPr>
            <b/>
            <u/>
            <sz val="8"/>
            <color indexed="81"/>
            <rFont val="Tahoma"/>
            <family val="2"/>
          </rPr>
          <t>CAPM</t>
        </r>
        <r>
          <rPr>
            <u/>
            <sz val="8"/>
            <color indexed="81"/>
            <rFont val="Tahoma"/>
            <family val="2"/>
          </rPr>
          <t>): The Discount Rate Revisited</t>
        </r>
        <r>
          <rPr>
            <sz val="8"/>
            <color indexed="81"/>
            <rFont val="Tahoma"/>
            <family val="2"/>
          </rPr>
          <t xml:space="preserve">
• The Capital Asset Pricing Model: Classifies risk into two parts: systematic risk and unsystematic risk. Systematic risk is unavoidable. Unsystematic risk is that portion of risk that can be diversified away, and thus will not be paid for by investors.
• The </t>
        </r>
        <r>
          <rPr>
            <b/>
            <sz val="8"/>
            <color indexed="81"/>
            <rFont val="Tahoma"/>
            <family val="2"/>
          </rPr>
          <t>CAPM</t>
        </r>
        <r>
          <rPr>
            <sz val="8"/>
            <color indexed="81"/>
            <rFont val="Tahoma"/>
            <family val="2"/>
          </rPr>
          <t xml:space="preserve"> concludes that the assumption of systematic risk is rewarded with a risk premium, which is an expected return above and beyond the risk free rate of return. The size of the risk premium is linearly proportional to the amount of risk taken. Therefore, the CAPM defines the cost of equity as equaling the risk-free rate plus an amount of systematic risk an investor assumes.
• </t>
        </r>
        <r>
          <rPr>
            <b/>
            <sz val="8"/>
            <color indexed="81"/>
            <rFont val="Tahoma"/>
            <family val="2"/>
          </rPr>
          <t>The CAPM formula</t>
        </r>
        <r>
          <rPr>
            <sz val="8"/>
            <color indexed="81"/>
            <rFont val="Tahoma"/>
            <family val="2"/>
          </rPr>
          <t xml:space="preserve">: The Cost of Equity = Risk-free rate + (Beta(ß) * Market Risk Premium) 
</t>
        </r>
      </text>
    </comment>
    <comment ref="M26" authorId="1" shapeId="0">
      <text>
        <r>
          <rPr>
            <b/>
            <sz val="8"/>
            <color indexed="81"/>
            <rFont val="Tahoma"/>
            <family val="2"/>
          </rPr>
          <t>Analyst Exchange:</t>
        </r>
        <r>
          <rPr>
            <sz val="8"/>
            <color indexed="81"/>
            <rFont val="Tahoma"/>
            <family val="2"/>
          </rPr>
          <t xml:space="preserve">
You can use the 10-year or 30-year US Treasury Note. Wherever you would have parked your cash at essentially zero risk (The RISK Free Rate).</t>
        </r>
      </text>
    </comment>
    <comment ref="G28" authorId="1" shapeId="0">
      <text>
        <r>
          <rPr>
            <b/>
            <sz val="8"/>
            <color indexed="81"/>
            <rFont val="Tahoma"/>
            <family val="2"/>
          </rPr>
          <t>Perpetuity Formula</t>
        </r>
        <r>
          <rPr>
            <sz val="8"/>
            <color indexed="81"/>
            <rFont val="Tahoma"/>
            <family val="2"/>
          </rPr>
          <t xml:space="preserve"> = Unlevered Free Cash *(1+Growth Rate)/(Discount Rate minus Growth Rate)</t>
        </r>
      </text>
    </comment>
    <comment ref="M28" authorId="1" shapeId="0">
      <text>
        <r>
          <rPr>
            <b/>
            <sz val="8"/>
            <color indexed="81"/>
            <rFont val="Tahoma"/>
            <family val="2"/>
          </rPr>
          <t>Analyst Exchange:</t>
        </r>
        <r>
          <rPr>
            <sz val="8"/>
            <color indexed="81"/>
            <rFont val="Tahoma"/>
            <family val="2"/>
          </rPr>
          <t xml:space="preserve">
Ex. Cost of Equity * Market value of common equity / (Market value of common equity + Market value of debt + Market value of preferred equity).</t>
        </r>
      </text>
    </comment>
  </commentList>
</comments>
</file>

<file path=xl/connections.xml><?xml version="1.0" encoding="utf-8"?>
<connections xmlns="http://schemas.openxmlformats.org/spreadsheetml/2006/main">
  <connection id="1" keepAlive="1" name="Query - Table1" description="Connection to the 'Table1' query in the workbook." type="5" refreshedVersion="6"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<sst xmlns="http://schemas.openxmlformats.org/spreadsheetml/2006/main" count="345" uniqueCount="216">
  <si>
    <t>Other</t>
  </si>
  <si>
    <t>EBIT</t>
  </si>
  <si>
    <t>EBITDA</t>
  </si>
  <si>
    <t>Basic</t>
  </si>
  <si>
    <t>Diluted</t>
  </si>
  <si>
    <t>Consolidated Statements of Cash Flows</t>
  </si>
  <si>
    <t>Consolidated Income Statements</t>
  </si>
  <si>
    <t>SUPPLEMENTAL DATA:</t>
  </si>
  <si>
    <t>Deferred income taxes</t>
  </si>
  <si>
    <t>Cash flows from operating activities</t>
  </si>
  <si>
    <t>Cash flows from investing activities</t>
  </si>
  <si>
    <t>Cash flows from financing activities</t>
  </si>
  <si>
    <t>Changes in accounts receivable</t>
  </si>
  <si>
    <t>Changes in inventory</t>
  </si>
  <si>
    <t>Changes in accounts payable</t>
  </si>
  <si>
    <t>Actuals</t>
  </si>
  <si>
    <t>Estimates</t>
  </si>
  <si>
    <t>Short-term borrowings (repayments)</t>
  </si>
  <si>
    <t>Long-term borrowings (repayments)</t>
  </si>
  <si>
    <t>Revenue</t>
  </si>
  <si>
    <t>Y/Y revenue growth (%)</t>
  </si>
  <si>
    <t>Cost of goods sold</t>
  </si>
  <si>
    <t>COGS as a % of revenue</t>
  </si>
  <si>
    <t>Gross profit margin (%)</t>
  </si>
  <si>
    <t>Selling, general and administrative</t>
  </si>
  <si>
    <t>EBITDA margin (%)</t>
  </si>
  <si>
    <t>Depreciation and amortization</t>
  </si>
  <si>
    <t>EBIT margin (%)</t>
  </si>
  <si>
    <t>Interest income</t>
  </si>
  <si>
    <t>Operating expenses</t>
  </si>
  <si>
    <t>Income tax expense</t>
  </si>
  <si>
    <t>Non-recurring events</t>
  </si>
  <si>
    <t>Discontinued operations</t>
  </si>
  <si>
    <t>Net income</t>
  </si>
  <si>
    <t>Earnings per share (EPS)</t>
  </si>
  <si>
    <t xml:space="preserve">Average common shares outstanding </t>
  </si>
  <si>
    <t>Gross profit</t>
  </si>
  <si>
    <t>Total revenue</t>
  </si>
  <si>
    <t>Cash flow before debt paydown</t>
  </si>
  <si>
    <t>Tax rate (%)</t>
  </si>
  <si>
    <t>Net interest expense</t>
  </si>
  <si>
    <t>Interest</t>
  </si>
  <si>
    <t>Total non-recurring events</t>
  </si>
  <si>
    <t>SG&amp;A as a % of revenue</t>
  </si>
  <si>
    <t>Total change in cash and cash equivalents</t>
  </si>
  <si>
    <t>Membership and Other Income</t>
  </si>
  <si>
    <t>Interest expense (Debt)</t>
  </si>
  <si>
    <t>Interest expense (Capital Leases)</t>
  </si>
  <si>
    <t>(in US$ millions)</t>
  </si>
  <si>
    <t>Other Operating Activities</t>
  </si>
  <si>
    <t>Changes in accrued liabilities</t>
  </si>
  <si>
    <t>Purchase of redeemable noncontrolling interest</t>
  </si>
  <si>
    <t>Capital Lease Obligations</t>
  </si>
  <si>
    <t>Discounted Cash Flow Analysis</t>
  </si>
  <si>
    <t>Unlevered Free Cash Flow</t>
  </si>
  <si>
    <t>Depreciation &amp; Amortization</t>
  </si>
  <si>
    <t>Deferred Taxes</t>
  </si>
  <si>
    <t>Changes in Working Capital</t>
  </si>
  <si>
    <t>Capital Expenditures</t>
  </si>
  <si>
    <t>Taxes</t>
  </si>
  <si>
    <t>Total Unlevered Free Cash Flow</t>
  </si>
  <si>
    <t>Net Present Value Calulation</t>
  </si>
  <si>
    <t>Period</t>
  </si>
  <si>
    <t>Discounted Cash Flow</t>
  </si>
  <si>
    <t>Total Net Present Value</t>
  </si>
  <si>
    <t>Terminal Value</t>
  </si>
  <si>
    <t>EBITDA Method</t>
  </si>
  <si>
    <t>Exit Year EBITDA</t>
  </si>
  <si>
    <t xml:space="preserve">Risk Free Rate </t>
  </si>
  <si>
    <t>Multiple</t>
  </si>
  <si>
    <t xml:space="preserve">Stock Price </t>
  </si>
  <si>
    <t xml:space="preserve">Beta </t>
  </si>
  <si>
    <t>Shares Outstanding</t>
  </si>
  <si>
    <t>Net Present Value</t>
  </si>
  <si>
    <t xml:space="preserve">Cost of Equity </t>
  </si>
  <si>
    <t>Equity Value</t>
  </si>
  <si>
    <t>Perpetuity Method</t>
  </si>
  <si>
    <t xml:space="preserve">Cost of Debt </t>
  </si>
  <si>
    <t>Growth Rate</t>
  </si>
  <si>
    <t>WACC</t>
  </si>
  <si>
    <t>Effect of Exchange Rate on Cash</t>
  </si>
  <si>
    <t>Long term debt due within one year</t>
  </si>
  <si>
    <t>Capital lease obligations due within one year</t>
  </si>
  <si>
    <t>Minority interest</t>
  </si>
  <si>
    <t>Enterprise value</t>
  </si>
  <si>
    <t>Equity value</t>
  </si>
  <si>
    <t>(in US$ millions except per share amounts)</t>
  </si>
  <si>
    <t>Net Sales</t>
  </si>
  <si>
    <t>% Growth</t>
  </si>
  <si>
    <t>EBT</t>
  </si>
  <si>
    <t>EBT margin (%)</t>
  </si>
  <si>
    <t>Distributions</t>
  </si>
  <si>
    <t>Net Income (as Reported)</t>
  </si>
  <si>
    <t>Net Income (Adjusted)</t>
  </si>
  <si>
    <t>Income attributable to non-controlling interests</t>
  </si>
  <si>
    <t>Non-controlling interests % of Net Income</t>
  </si>
  <si>
    <t>Net Income (After non-recurring events)</t>
  </si>
  <si>
    <t>Total cash flows from operating activities</t>
  </si>
  <si>
    <t>Proceeds from disposal of property and equipment</t>
  </si>
  <si>
    <t>Investments and business acquisitions, net of cash acquired</t>
  </si>
  <si>
    <t>Other investing activities</t>
  </si>
  <si>
    <t>Total cash from investing activities</t>
  </si>
  <si>
    <t>Dividends paid</t>
  </si>
  <si>
    <t>Purchase of common stock [treasury stock]</t>
  </si>
  <si>
    <t>Total cash from financing activities</t>
  </si>
  <si>
    <t>Payments for property and equipment (CAPEX)</t>
  </si>
  <si>
    <t>Dividends paid ($/share)</t>
  </si>
  <si>
    <t>Capex as a % of Revenue</t>
  </si>
  <si>
    <t>Changes in operating working capital</t>
  </si>
  <si>
    <t>Net changes in operating working capital</t>
  </si>
  <si>
    <t>Changes in prepaid expenses and other</t>
  </si>
  <si>
    <t>Changes in accrued income taxes</t>
  </si>
  <si>
    <t xml:space="preserve"> </t>
  </si>
  <si>
    <t>Average option strike price</t>
  </si>
  <si>
    <t>Total option proceeds</t>
  </si>
  <si>
    <t>Number of outstanding options (in the money)</t>
  </si>
  <si>
    <t>Number of basic shares outstanding</t>
  </si>
  <si>
    <t>Debt YE 2012</t>
  </si>
  <si>
    <t>Cost of Capital</t>
  </si>
  <si>
    <t xml:space="preserve">Discounted Cash Flow Total Valuation </t>
  </si>
  <si>
    <t xml:space="preserve">EBITDA Method </t>
  </si>
  <si>
    <t>Total of Present Value of Cash Flows</t>
  </si>
  <si>
    <t>Present Value of Terminal Value</t>
  </si>
  <si>
    <t>Total Enterprise Value</t>
  </si>
  <si>
    <t>Estimated Equity Value per Share</t>
  </si>
  <si>
    <t>Period Ending January 31</t>
  </si>
  <si>
    <t>Diluted Shares</t>
  </si>
  <si>
    <t>Shares repurchased</t>
  </si>
  <si>
    <t>Share Count (millions)</t>
  </si>
  <si>
    <t xml:space="preserve">Market Risk Premium </t>
  </si>
  <si>
    <t>Net Debt, Non-controlling interests, preferred securities</t>
  </si>
  <si>
    <t>Loss (income) from discontinued operations</t>
  </si>
  <si>
    <t xml:space="preserve">COST OF CAPITAL </t>
  </si>
  <si>
    <t xml:space="preserve">Formulas to be Responsible for: </t>
  </si>
  <si>
    <t xml:space="preserve">WACC = </t>
  </si>
  <si>
    <t>Debt</t>
  </si>
  <si>
    <t>X Cost of Debt</t>
  </si>
  <si>
    <t>+</t>
  </si>
  <si>
    <t>Equity</t>
  </si>
  <si>
    <t>X Cost of Equity</t>
  </si>
  <si>
    <t>X (1-Tax)</t>
  </si>
  <si>
    <t>(Debt + Equity)</t>
  </si>
  <si>
    <t xml:space="preserve">Cost of Equity =  </t>
  </si>
  <si>
    <t>Risk Free Rate + Market Risk Premium * Beta</t>
  </si>
  <si>
    <t xml:space="preserve">Equity Value: </t>
  </si>
  <si>
    <t>Stock Price X Shares Outstanding</t>
  </si>
  <si>
    <t xml:space="preserve">The Following Will be Given: </t>
  </si>
  <si>
    <t>Risk Free Rate</t>
  </si>
  <si>
    <t>Beta</t>
  </si>
  <si>
    <t>Stock Price</t>
  </si>
  <si>
    <t>Tax Rate</t>
  </si>
  <si>
    <t>Cost of Debt</t>
  </si>
  <si>
    <t>(in US$ millions including shares &amp; except per share amounts)</t>
  </si>
  <si>
    <t>For the fiscal year ended March 3, 2012</t>
  </si>
  <si>
    <t>Tax rate</t>
  </si>
  <si>
    <t xml:space="preserve">Cost of Capital: </t>
  </si>
  <si>
    <t xml:space="preserve">Equity Risk Premium </t>
  </si>
  <si>
    <t>Diluted shares</t>
  </si>
  <si>
    <t>Total debt</t>
  </si>
  <si>
    <t>Cash</t>
  </si>
  <si>
    <t>Cost of Preferred Stock</t>
  </si>
  <si>
    <t>Discounted Cash Flow Total Valuation (Enterprise Value)</t>
  </si>
  <si>
    <t>Cap. Structure</t>
  </si>
  <si>
    <t>Net Debt</t>
  </si>
  <si>
    <t>Basic Share Count (millions)</t>
  </si>
  <si>
    <t>Est. Fair Equity Value per share EBITDA Method</t>
  </si>
  <si>
    <t>Est. Fair Equity Value per share Perpetuity Method</t>
  </si>
  <si>
    <t>Income Statement</t>
  </si>
  <si>
    <t>Cash Flow</t>
  </si>
  <si>
    <t>Income Statement or Calculation</t>
  </si>
  <si>
    <t>Shortcut NPV</t>
  </si>
  <si>
    <t>Shares Outstanding / Share Count (millions)</t>
  </si>
  <si>
    <t># of items</t>
  </si>
  <si>
    <t>Current Annual Sales</t>
  </si>
  <si>
    <t>Current Annual Avg Profit Rate</t>
  </si>
  <si>
    <t>Incremental Profit</t>
  </si>
  <si>
    <t>Capital</t>
  </si>
  <si>
    <t>Growth Assumption</t>
  </si>
  <si>
    <t>ROC</t>
  </si>
  <si>
    <t>IRR</t>
  </si>
  <si>
    <t>Discount Rate</t>
  </si>
  <si>
    <t>NPV</t>
  </si>
  <si>
    <t>Cash Flow (Incremental)</t>
  </si>
  <si>
    <t>ROC/ROI</t>
  </si>
  <si>
    <t>Lombardi Athletics</t>
  </si>
  <si>
    <t xml:space="preserve"> = (Sum of Total Cash Flow - Capital Needed to Fund Project) / Capital Needed to Fund Project</t>
  </si>
  <si>
    <t>=IRR (CashFlow Stream)</t>
  </si>
  <si>
    <t>*Make sure to include initial Capital Investmnet (Year 0)</t>
  </si>
  <si>
    <t>=NPV (Discount Rate, CashFlow Stream)</t>
  </si>
  <si>
    <t>Shirt Enhancement</t>
  </si>
  <si>
    <t>Marketing Campaign Upgrade</t>
  </si>
  <si>
    <t xml:space="preserve">Improved Operations Management </t>
  </si>
  <si>
    <t>Year 0 (Capital Expd)</t>
  </si>
  <si>
    <t>Year 1</t>
  </si>
  <si>
    <t>Year 2</t>
  </si>
  <si>
    <t>Year 3</t>
  </si>
  <si>
    <t>Year 4</t>
  </si>
  <si>
    <t>Year 5</t>
  </si>
  <si>
    <t>Year 6</t>
  </si>
  <si>
    <t>Year 7</t>
  </si>
  <si>
    <t>Year 8</t>
  </si>
  <si>
    <t>Year 9</t>
  </si>
  <si>
    <t>Year 10</t>
  </si>
  <si>
    <t>https://www.gurufocus.com/term/ev2ebitda/BBY/EV-to-EBITDA/Best-Buy-Co-Inc</t>
  </si>
  <si>
    <t>Company Comparison of EBITDA Multiple</t>
  </si>
  <si>
    <t>Price per Item</t>
  </si>
  <si>
    <t>Tax Rate = 33%</t>
  </si>
  <si>
    <t>INCOME STATEMENT</t>
  </si>
  <si>
    <t>CASH FLOW</t>
  </si>
  <si>
    <t>Deferred Income Taxes</t>
  </si>
  <si>
    <t>&lt;-- This will be a negative number (payment)</t>
  </si>
  <si>
    <t>&lt;-- This will be a negative number (taxes owed)</t>
  </si>
  <si>
    <t>&lt;-- SHARES OUTSTANDING IN FAR RIGHT BOX</t>
  </si>
  <si>
    <t>Net Changes in Operating Working Capital</t>
  </si>
  <si>
    <t>Incremental Sales/Wk</t>
  </si>
  <si>
    <t>Sum of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</si>
</sst>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7" formatCode="&quot;$&quot;#,##0.00_);\(&quot;$&quot;#,##0.00\)"/>
    <numFmt numFmtId="8" formatCode="&quot;$&quot;#,##0.00_);[Red]\(&quot;$&quot;#,##0.00\)"/>
    <numFmt numFmtId="43" formatCode="_(* #,##0.00_);_(* \(#,##0.00\);_(* &quot;-&quot;??_);_(@_)"/>
    <numFmt numFmtId="164" formatCode="#,##0.0_);[Red]\(#,##0.0\)"/>
    <numFmt numFmtId="165" formatCode="#,##0.0_);\(#,##0.0\)"/>
    <numFmt numFmtId="166" formatCode="#,##0.0"/>
    <numFmt numFmtId="167" formatCode="0.0"/>
    <numFmt numFmtId="168" formatCode="&quot;$&quot;#,##0.00"/>
    <numFmt numFmtId="169" formatCode="General\A"/>
    <numFmt numFmtId="170" formatCode="General\E"/>
    <numFmt numFmtId="171" formatCode="&quot;$&quot;#,##0.0_);\(&quot;$&quot;#,##0.0\)"/>
    <numFmt numFmtId="172" formatCode="0.0%_);\(0.0%\)"/>
    <numFmt numFmtId="173" formatCode="0.0\x"/>
    <numFmt numFmtId="174" formatCode="#,##0.00_);\(#,##0.00\);#,##0.00_);@_)"/>
    <numFmt numFmtId="175" formatCode="0.0%"/>
    <numFmt numFmtId="176" formatCode="#,##0.000_);[Red]\(#,##0.000\)"/>
    <numFmt numFmtId="177" formatCode="0.000%"/>
    <numFmt numFmtId="178" formatCode="0.0%_);\(0.0%\);0.0%_);@_)"/>
    <numFmt numFmtId="179" formatCode="&quot;$&quot;#,##0.0_);[Red]\(&quot;$&quot;#,##0.0\)"/>
    <numFmt numFmtId="180" formatCode=";;;"/>
    <numFmt numFmtId="181" formatCode="_(* #,##0_);_(* \(#,##0\);_(* &quot;-&quot;??_);_(@_)"/>
  </numFmts>
  <fonts count="3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9"/>
      <name val="Arial"/>
      <family val="2"/>
    </font>
    <font>
      <sz val="9"/>
      <name val="Arial"/>
      <family val="2"/>
    </font>
    <font>
      <i/>
      <sz val="9"/>
      <name val="Arial"/>
      <family val="2"/>
    </font>
    <font>
      <sz val="9"/>
      <color indexed="12"/>
      <name val="Arial"/>
      <family val="2"/>
    </font>
    <font>
      <i/>
      <sz val="9"/>
      <color indexed="12"/>
      <name val="Arial"/>
      <family val="2"/>
    </font>
    <font>
      <b/>
      <sz val="9"/>
      <color indexed="81"/>
      <name val="Tahoma"/>
      <family val="2"/>
    </font>
    <font>
      <sz val="9"/>
      <color indexed="81"/>
      <name val="Tahoma"/>
      <family val="2"/>
    </font>
    <font>
      <sz val="9"/>
      <color indexed="30"/>
      <name val="Arial"/>
      <family val="2"/>
    </font>
    <font>
      <sz val="9"/>
      <color indexed="62"/>
      <name val="Arial"/>
      <family val="2"/>
    </font>
    <font>
      <sz val="10"/>
      <name val="Arial"/>
      <family val="2"/>
    </font>
    <font>
      <sz val="9"/>
      <color indexed="17"/>
      <name val="Arial"/>
      <family val="2"/>
    </font>
    <font>
      <b/>
      <sz val="10"/>
      <name val="Arial"/>
      <family val="2"/>
    </font>
    <font>
      <sz val="10"/>
      <color indexed="12"/>
      <name val="Arial"/>
      <family val="2"/>
    </font>
    <font>
      <sz val="10"/>
      <color indexed="8"/>
      <name val="Arial"/>
      <family val="2"/>
    </font>
    <font>
      <sz val="9"/>
      <color indexed="56"/>
      <name val="Arial"/>
      <family val="2"/>
    </font>
    <font>
      <i/>
      <sz val="9"/>
      <color rgb="FF0070C0"/>
      <name val="Arial"/>
      <family val="2"/>
    </font>
    <font>
      <sz val="9"/>
      <color indexed="57"/>
      <name val="Arial"/>
      <family val="2"/>
    </font>
    <font>
      <b/>
      <u/>
      <sz val="9"/>
      <name val="Arial"/>
      <family val="2"/>
    </font>
    <font>
      <b/>
      <sz val="8"/>
      <color indexed="81"/>
      <name val="Tahoma"/>
      <family val="2"/>
    </font>
    <font>
      <sz val="8"/>
      <color indexed="81"/>
      <name val="Tahoma"/>
      <family val="2"/>
    </font>
    <font>
      <u/>
      <sz val="8"/>
      <color indexed="81"/>
      <name val="Tahoma"/>
      <family val="2"/>
    </font>
    <font>
      <b/>
      <u/>
      <sz val="8"/>
      <color indexed="81"/>
      <name val="Tahoma"/>
      <family val="2"/>
    </font>
    <font>
      <sz val="12"/>
      <name val="Arial"/>
      <family val="2"/>
    </font>
    <font>
      <sz val="16"/>
      <color theme="1"/>
      <name val="Calibri"/>
      <family val="2"/>
      <scheme val="minor"/>
    </font>
    <font>
      <sz val="13"/>
      <color rgb="FF111111"/>
      <name val="Arial"/>
      <family val="2"/>
    </font>
    <font>
      <u/>
      <sz val="10"/>
      <color theme="10"/>
      <name val="Arial"/>
      <family val="2"/>
    </font>
    <font>
      <sz val="10"/>
      <name val="Arial"/>
      <family val="2"/>
    </font>
    <font>
      <sz val="13"/>
      <name val="Arial"/>
      <family val="2"/>
    </font>
  </fonts>
  <fills count="1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rgb="FF66CCFF"/>
        <bgColor indexed="64"/>
      </patternFill>
    </fill>
    <fill>
      <patternFill patternType="solid">
        <fgColor theme="6" tint="0.39997558519241921"/>
        <bgColor indexed="64"/>
      </patternFill>
    </fill>
  </fills>
  <borders count="17">
    <border>
      <left/>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s>
  <cellStyleXfs count="21">
    <xf numFmtId="0" fontId="0" fillId="0" borderId="0"/>
    <xf numFmtId="0" fontId="19" fillId="0" borderId="0"/>
    <xf numFmtId="0" fontId="19" fillId="0" borderId="0"/>
    <xf numFmtId="0" fontId="8" fillId="0" borderId="0"/>
    <xf numFmtId="43" fontId="7" fillId="0" borderId="0" applyFont="0" applyFill="0" applyBorder="0" applyAlignment="0" applyProtection="0"/>
    <xf numFmtId="0" fontId="6" fillId="0" borderId="0"/>
    <xf numFmtId="43" fontId="19" fillId="0" borderId="0" applyFont="0" applyFill="0" applyBorder="0" applyAlignment="0" applyProtection="0"/>
    <xf numFmtId="0" fontId="19" fillId="0" borderId="0"/>
    <xf numFmtId="0" fontId="5"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35" fillId="0" borderId="0" applyNumberFormat="0" applyFill="0" applyBorder="0" applyAlignment="0" applyProtection="0"/>
    <xf numFmtId="0" fontId="3" fillId="0" borderId="0"/>
    <xf numFmtId="9" fontId="36"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293">
    <xf numFmtId="0" fontId="0" fillId="0" borderId="0" xfId="0"/>
    <xf numFmtId="0" fontId="11" fillId="0" borderId="0" xfId="0" applyFont="1"/>
    <xf numFmtId="164" fontId="11" fillId="0" borderId="0" xfId="0" applyNumberFormat="1" applyFont="1"/>
    <xf numFmtId="0" fontId="11" fillId="2" borderId="0" xfId="0" applyFont="1" applyFill="1"/>
    <xf numFmtId="0" fontId="11" fillId="2" borderId="0" xfId="0" quotePrefix="1" applyFont="1" applyFill="1"/>
    <xf numFmtId="164" fontId="11" fillId="2" borderId="0" xfId="0" applyNumberFormat="1" applyFont="1" applyFill="1"/>
    <xf numFmtId="0" fontId="10" fillId="2" borderId="1" xfId="0" applyFont="1" applyFill="1" applyBorder="1"/>
    <xf numFmtId="164" fontId="10" fillId="2" borderId="1" xfId="0" applyNumberFormat="1" applyFont="1" applyFill="1" applyBorder="1"/>
    <xf numFmtId="0" fontId="11" fillId="3" borderId="0" xfId="0" applyFont="1" applyFill="1"/>
    <xf numFmtId="164" fontId="11" fillId="3" borderId="0" xfId="0" applyNumberFormat="1" applyFont="1" applyFill="1"/>
    <xf numFmtId="0" fontId="10" fillId="2" borderId="0" xfId="0" applyFont="1" applyFill="1" applyAlignment="1">
      <alignment horizontal="centerContinuous"/>
    </xf>
    <xf numFmtId="164" fontId="10" fillId="2" borderId="0" xfId="0" applyNumberFormat="1" applyFont="1" applyFill="1" applyAlignment="1">
      <alignment horizontal="centerContinuous"/>
    </xf>
    <xf numFmtId="0" fontId="10" fillId="2" borderId="2" xfId="0" applyFont="1" applyFill="1" applyBorder="1"/>
    <xf numFmtId="0" fontId="10" fillId="2" borderId="2" xfId="0" applyFont="1" applyFill="1" applyBorder="1" applyAlignment="1">
      <alignment wrapText="1"/>
    </xf>
    <xf numFmtId="164" fontId="11" fillId="2" borderId="1" xfId="0" applyNumberFormat="1" applyFont="1" applyFill="1" applyBorder="1"/>
    <xf numFmtId="164" fontId="10" fillId="2" borderId="2" xfId="0" applyNumberFormat="1" applyFont="1" applyFill="1" applyBorder="1" applyAlignment="1">
      <alignment horizontal="centerContinuous"/>
    </xf>
    <xf numFmtId="164" fontId="10" fillId="2" borderId="1" xfId="0" applyNumberFormat="1" applyFont="1" applyFill="1" applyBorder="1" applyAlignment="1">
      <alignment horizontal="centerContinuous"/>
    </xf>
    <xf numFmtId="164" fontId="10" fillId="2" borderId="3" xfId="0" applyNumberFormat="1" applyFont="1" applyFill="1" applyBorder="1" applyAlignment="1">
      <alignment horizontal="centerContinuous"/>
    </xf>
    <xf numFmtId="164" fontId="10" fillId="2" borderId="4" xfId="0" applyNumberFormat="1" applyFont="1" applyFill="1" applyBorder="1" applyAlignment="1">
      <alignment horizontal="centerContinuous"/>
    </xf>
    <xf numFmtId="0" fontId="11" fillId="2" borderId="2" xfId="0" applyFont="1" applyFill="1" applyBorder="1" applyAlignment="1">
      <alignment horizontal="centerContinuous"/>
    </xf>
    <xf numFmtId="0" fontId="10" fillId="2" borderId="2" xfId="0" applyFont="1" applyFill="1" applyBorder="1" applyAlignment="1">
      <alignment horizontal="centerContinuous"/>
    </xf>
    <xf numFmtId="169" fontId="10" fillId="2" borderId="2" xfId="0" applyNumberFormat="1" applyFont="1" applyFill="1" applyBorder="1" applyAlignment="1">
      <alignment horizontal="right" wrapText="1"/>
    </xf>
    <xf numFmtId="170" fontId="10" fillId="2" borderId="2" xfId="0" applyNumberFormat="1" applyFont="1" applyFill="1" applyBorder="1" applyAlignment="1">
      <alignment horizontal="right" wrapText="1"/>
    </xf>
    <xf numFmtId="0" fontId="11" fillId="2" borderId="1" xfId="0" applyFont="1" applyFill="1" applyBorder="1"/>
    <xf numFmtId="164" fontId="11" fillId="2" borderId="2" xfId="0" applyNumberFormat="1" applyFont="1" applyFill="1" applyBorder="1"/>
    <xf numFmtId="0" fontId="11" fillId="3" borderId="0" xfId="1" applyFont="1" applyFill="1"/>
    <xf numFmtId="164" fontId="11" fillId="3" borderId="0" xfId="1" applyNumberFormat="1" applyFont="1" applyFill="1"/>
    <xf numFmtId="0" fontId="11" fillId="0" borderId="0" xfId="1" applyFont="1"/>
    <xf numFmtId="0" fontId="10" fillId="2" borderId="1" xfId="1" applyFont="1" applyFill="1" applyBorder="1"/>
    <xf numFmtId="164" fontId="11" fillId="2" borderId="1" xfId="1" applyNumberFormat="1" applyFont="1" applyFill="1" applyBorder="1"/>
    <xf numFmtId="164" fontId="10" fillId="2" borderId="1" xfId="1" applyNumberFormat="1" applyFont="1" applyFill="1" applyBorder="1"/>
    <xf numFmtId="0" fontId="11" fillId="2" borderId="0" xfId="1" applyFont="1" applyFill="1"/>
    <xf numFmtId="164" fontId="11" fillId="2" borderId="0" xfId="1" applyNumberFormat="1" applyFont="1" applyFill="1"/>
    <xf numFmtId="0" fontId="11" fillId="2" borderId="0" xfId="1" quotePrefix="1" applyFont="1" applyFill="1"/>
    <xf numFmtId="164" fontId="10" fillId="2" borderId="2" xfId="1" applyNumberFormat="1" applyFont="1" applyFill="1" applyBorder="1" applyAlignment="1">
      <alignment horizontal="centerContinuous"/>
    </xf>
    <xf numFmtId="164" fontId="10" fillId="2" borderId="3" xfId="1" applyNumberFormat="1" applyFont="1" applyFill="1" applyBorder="1" applyAlignment="1">
      <alignment horizontal="centerContinuous"/>
    </xf>
    <xf numFmtId="164" fontId="10" fillId="2" borderId="4" xfId="1" applyNumberFormat="1" applyFont="1" applyFill="1" applyBorder="1" applyAlignment="1">
      <alignment horizontal="centerContinuous"/>
    </xf>
    <xf numFmtId="0" fontId="11" fillId="2" borderId="2" xfId="1" applyFont="1" applyFill="1" applyBorder="1" applyAlignment="1">
      <alignment horizontal="centerContinuous"/>
    </xf>
    <xf numFmtId="0" fontId="10" fillId="2" borderId="2" xfId="1" applyFont="1" applyFill="1" applyBorder="1" applyAlignment="1">
      <alignment horizontal="centerContinuous"/>
    </xf>
    <xf numFmtId="164" fontId="10" fillId="2" borderId="0" xfId="1" applyNumberFormat="1" applyFont="1" applyFill="1" applyAlignment="1">
      <alignment horizontal="centerContinuous"/>
    </xf>
    <xf numFmtId="0" fontId="10" fillId="2" borderId="0" xfId="1" applyFont="1" applyFill="1" applyAlignment="1">
      <alignment horizontal="centerContinuous"/>
    </xf>
    <xf numFmtId="0" fontId="10" fillId="2" borderId="2" xfId="1" applyFont="1" applyFill="1" applyBorder="1"/>
    <xf numFmtId="164" fontId="11" fillId="2" borderId="2" xfId="1" applyNumberFormat="1" applyFont="1" applyFill="1" applyBorder="1"/>
    <xf numFmtId="169" fontId="10" fillId="2" borderId="2" xfId="1" applyNumberFormat="1" applyFont="1" applyFill="1" applyBorder="1" applyAlignment="1">
      <alignment horizontal="right"/>
    </xf>
    <xf numFmtId="170" fontId="10" fillId="2" borderId="2" xfId="1" applyNumberFormat="1" applyFont="1" applyFill="1" applyBorder="1" applyAlignment="1">
      <alignment horizontal="right"/>
    </xf>
    <xf numFmtId="164" fontId="11" fillId="0" borderId="0" xfId="1" applyNumberFormat="1" applyFont="1"/>
    <xf numFmtId="0" fontId="10" fillId="0" borderId="0" xfId="1" applyFont="1"/>
    <xf numFmtId="38" fontId="11" fillId="0" borderId="0" xfId="1" applyNumberFormat="1" applyFont="1"/>
    <xf numFmtId="37" fontId="11" fillId="0" borderId="0" xfId="1" applyNumberFormat="1" applyFont="1"/>
    <xf numFmtId="0" fontId="11" fillId="2" borderId="2" xfId="0" applyFont="1" applyFill="1" applyBorder="1" applyAlignment="1">
      <alignment wrapText="1"/>
    </xf>
    <xf numFmtId="0" fontId="10" fillId="4" borderId="0" xfId="0" applyFont="1" applyFill="1"/>
    <xf numFmtId="164" fontId="11" fillId="4" borderId="0" xfId="0" applyNumberFormat="1" applyFont="1" applyFill="1"/>
    <xf numFmtId="0" fontId="11" fillId="4" borderId="0" xfId="0" applyFont="1" applyFill="1" applyAlignment="1">
      <alignment wrapText="1"/>
    </xf>
    <xf numFmtId="165" fontId="10" fillId="4" borderId="0" xfId="0" applyNumberFormat="1" applyFont="1" applyFill="1" applyAlignment="1">
      <alignment horizontal="right" wrapText="1"/>
    </xf>
    <xf numFmtId="0" fontId="11" fillId="4" borderId="0" xfId="0" applyFont="1" applyFill="1"/>
    <xf numFmtId="164" fontId="13" fillId="4" borderId="0" xfId="0" applyNumberFormat="1" applyFont="1" applyFill="1" applyAlignment="1">
      <alignment horizontal="right" wrapText="1"/>
    </xf>
    <xf numFmtId="165" fontId="11" fillId="4" borderId="0" xfId="0" applyNumberFormat="1" applyFont="1" applyFill="1" applyAlignment="1">
      <alignment horizontal="right" wrapText="1"/>
    </xf>
    <xf numFmtId="0" fontId="12" fillId="4" borderId="0" xfId="0" applyFont="1" applyFill="1" applyAlignment="1">
      <alignment wrapText="1"/>
    </xf>
    <xf numFmtId="165" fontId="18" fillId="4" borderId="0" xfId="0" applyNumberFormat="1" applyFont="1" applyFill="1" applyAlignment="1">
      <alignment horizontal="right" wrapText="1"/>
    </xf>
    <xf numFmtId="175" fontId="12" fillId="4" borderId="0" xfId="0" applyNumberFormat="1" applyFont="1" applyFill="1" applyAlignment="1">
      <alignment wrapText="1"/>
    </xf>
    <xf numFmtId="164" fontId="17" fillId="4" borderId="0" xfId="0" applyNumberFormat="1" applyFont="1" applyFill="1" applyAlignment="1">
      <alignment horizontal="right" wrapText="1"/>
    </xf>
    <xf numFmtId="164" fontId="10" fillId="4" borderId="0" xfId="0" applyNumberFormat="1" applyFont="1" applyFill="1"/>
    <xf numFmtId="9" fontId="12" fillId="4" borderId="0" xfId="0" applyNumberFormat="1" applyFont="1" applyFill="1" applyAlignment="1">
      <alignment wrapText="1"/>
    </xf>
    <xf numFmtId="9" fontId="14" fillId="4" borderId="0" xfId="0" applyNumberFormat="1" applyFont="1" applyFill="1" applyAlignment="1">
      <alignment wrapText="1"/>
    </xf>
    <xf numFmtId="164" fontId="11" fillId="4" borderId="0" xfId="0" applyNumberFormat="1" applyFont="1" applyFill="1" applyAlignment="1">
      <alignment horizontal="right" wrapText="1"/>
    </xf>
    <xf numFmtId="175" fontId="12" fillId="4" borderId="2" xfId="0" applyNumberFormat="1" applyFont="1" applyFill="1" applyBorder="1" applyAlignment="1">
      <alignment wrapText="1"/>
    </xf>
    <xf numFmtId="175" fontId="25" fillId="4" borderId="14" xfId="0" applyNumberFormat="1" applyFont="1" applyFill="1" applyBorder="1" applyAlignment="1">
      <alignment wrapText="1"/>
    </xf>
    <xf numFmtId="164" fontId="10" fillId="4" borderId="0" xfId="0" applyNumberFormat="1" applyFont="1" applyFill="1" applyAlignment="1">
      <alignment horizontal="right" wrapText="1"/>
    </xf>
    <xf numFmtId="0" fontId="12" fillId="4" borderId="0" xfId="0" applyFont="1" applyFill="1"/>
    <xf numFmtId="164" fontId="11" fillId="4" borderId="0" xfId="0" applyNumberFormat="1" applyFont="1" applyFill="1" applyAlignment="1">
      <alignment wrapText="1"/>
    </xf>
    <xf numFmtId="176" fontId="11" fillId="4" borderId="0" xfId="0" applyNumberFormat="1" applyFont="1" applyFill="1" applyAlignment="1">
      <alignment wrapText="1"/>
    </xf>
    <xf numFmtId="175" fontId="14" fillId="4" borderId="0" xfId="0" applyNumberFormat="1" applyFont="1" applyFill="1" applyAlignment="1">
      <alignment horizontal="right" wrapText="1"/>
    </xf>
    <xf numFmtId="164" fontId="13" fillId="4" borderId="2" xfId="0" applyNumberFormat="1" applyFont="1" applyFill="1" applyBorder="1" applyAlignment="1">
      <alignment horizontal="right" wrapText="1"/>
    </xf>
    <xf numFmtId="164" fontId="11" fillId="4" borderId="2" xfId="0" applyNumberFormat="1" applyFont="1" applyFill="1" applyBorder="1" applyAlignment="1">
      <alignment horizontal="right" wrapText="1"/>
    </xf>
    <xf numFmtId="165" fontId="13" fillId="4" borderId="2" xfId="0" applyNumberFormat="1" applyFont="1" applyFill="1" applyBorder="1" applyAlignment="1">
      <alignment horizontal="right" wrapText="1"/>
    </xf>
    <xf numFmtId="165" fontId="10" fillId="4" borderId="5" xfId="0" applyNumberFormat="1" applyFont="1" applyFill="1" applyBorder="1" applyAlignment="1">
      <alignment horizontal="right" wrapText="1"/>
    </xf>
    <xf numFmtId="164" fontId="10" fillId="4" borderId="5" xfId="0" applyNumberFormat="1" applyFont="1" applyFill="1" applyBorder="1" applyAlignment="1">
      <alignment horizontal="right" wrapText="1"/>
    </xf>
    <xf numFmtId="164" fontId="10" fillId="4" borderId="6" xfId="0" applyNumberFormat="1" applyFont="1" applyFill="1" applyBorder="1" applyAlignment="1">
      <alignment horizontal="right" wrapText="1"/>
    </xf>
    <xf numFmtId="172" fontId="11" fillId="4" borderId="0" xfId="0" applyNumberFormat="1" applyFont="1" applyFill="1"/>
    <xf numFmtId="40" fontId="11" fillId="4" borderId="0" xfId="0" applyNumberFormat="1" applyFont="1" applyFill="1" applyAlignment="1">
      <alignment horizontal="right" wrapText="1"/>
    </xf>
    <xf numFmtId="38" fontId="13" fillId="4" borderId="0" xfId="0" applyNumberFormat="1" applyFont="1" applyFill="1" applyAlignment="1">
      <alignment horizontal="right" wrapText="1"/>
    </xf>
    <xf numFmtId="0" fontId="11" fillId="4" borderId="2" xfId="0" applyFont="1" applyFill="1" applyBorder="1"/>
    <xf numFmtId="38" fontId="13" fillId="4" borderId="2" xfId="0" applyNumberFormat="1" applyFont="1" applyFill="1" applyBorder="1" applyAlignment="1">
      <alignment horizontal="right" wrapText="1"/>
    </xf>
    <xf numFmtId="175" fontId="14" fillId="4" borderId="2" xfId="0" applyNumberFormat="1" applyFont="1" applyFill="1" applyBorder="1" applyAlignment="1">
      <alignment wrapText="1"/>
    </xf>
    <xf numFmtId="165" fontId="10" fillId="4" borderId="0" xfId="0" applyNumberFormat="1" applyFont="1" applyFill="1" applyAlignment="1">
      <alignment horizontal="right"/>
    </xf>
    <xf numFmtId="165" fontId="11" fillId="4" borderId="0" xfId="0" applyNumberFormat="1" applyFont="1" applyFill="1"/>
    <xf numFmtId="165" fontId="13" fillId="4" borderId="0" xfId="0" applyNumberFormat="1" applyFont="1" applyFill="1"/>
    <xf numFmtId="165" fontId="13" fillId="4" borderId="0" xfId="0" applyNumberFormat="1" applyFont="1" applyFill="1" applyAlignment="1">
      <alignment horizontal="right"/>
    </xf>
    <xf numFmtId="165" fontId="11" fillId="4" borderId="0" xfId="0" applyNumberFormat="1" applyFont="1" applyFill="1" applyAlignment="1">
      <alignment horizontal="right"/>
    </xf>
    <xf numFmtId="165" fontId="10" fillId="4" borderId="5" xfId="0" applyNumberFormat="1" applyFont="1" applyFill="1" applyBorder="1" applyAlignment="1">
      <alignment horizontal="right"/>
    </xf>
    <xf numFmtId="165" fontId="10" fillId="4" borderId="0" xfId="0" applyNumberFormat="1" applyFont="1" applyFill="1"/>
    <xf numFmtId="165" fontId="13" fillId="4" borderId="2" xfId="0" applyNumberFormat="1" applyFont="1" applyFill="1" applyBorder="1" applyAlignment="1">
      <alignment horizontal="right"/>
    </xf>
    <xf numFmtId="165" fontId="11" fillId="4" borderId="2" xfId="0" applyNumberFormat="1" applyFont="1" applyFill="1" applyBorder="1"/>
    <xf numFmtId="39" fontId="14" fillId="4" borderId="0" xfId="0" applyNumberFormat="1" applyFont="1" applyFill="1" applyAlignment="1">
      <alignment horizontal="right"/>
    </xf>
    <xf numFmtId="165" fontId="11" fillId="4" borderId="2" xfId="0" applyNumberFormat="1" applyFont="1" applyFill="1" applyBorder="1" applyAlignment="1">
      <alignment horizontal="right"/>
    </xf>
    <xf numFmtId="175" fontId="12" fillId="4" borderId="0" xfId="0" applyNumberFormat="1" applyFont="1" applyFill="1"/>
    <xf numFmtId="175" fontId="14" fillId="4" borderId="0" xfId="0" applyNumberFormat="1" applyFont="1" applyFill="1" applyAlignment="1">
      <alignment horizontal="right"/>
    </xf>
    <xf numFmtId="175" fontId="25" fillId="4" borderId="0" xfId="0" applyNumberFormat="1" applyFont="1" applyFill="1" applyAlignment="1">
      <alignment wrapText="1"/>
    </xf>
    <xf numFmtId="165" fontId="11" fillId="4" borderId="2" xfId="0" applyNumberFormat="1" applyFont="1" applyFill="1" applyBorder="1" applyAlignment="1">
      <alignment horizontal="right" wrapText="1"/>
    </xf>
    <xf numFmtId="38" fontId="11" fillId="4" borderId="0" xfId="0" applyNumberFormat="1" applyFont="1" applyFill="1" applyAlignment="1">
      <alignment horizontal="right" wrapText="1"/>
    </xf>
    <xf numFmtId="38" fontId="11" fillId="4" borderId="2" xfId="0" applyNumberFormat="1" applyFont="1" applyFill="1" applyBorder="1" applyAlignment="1">
      <alignment horizontal="right" wrapText="1"/>
    </xf>
    <xf numFmtId="0" fontId="19" fillId="4" borderId="0" xfId="0" applyFont="1" applyFill="1"/>
    <xf numFmtId="37" fontId="22" fillId="4" borderId="0" xfId="0" applyNumberFormat="1" applyFont="1" applyFill="1"/>
    <xf numFmtId="37" fontId="23" fillId="4" borderId="0" xfId="0" applyNumberFormat="1" applyFont="1" applyFill="1"/>
    <xf numFmtId="7" fontId="22" fillId="4" borderId="0" xfId="0" applyNumberFormat="1" applyFont="1" applyFill="1" applyAlignment="1">
      <alignment horizontal="right"/>
    </xf>
    <xf numFmtId="0" fontId="21" fillId="4" borderId="0" xfId="0" applyFont="1" applyFill="1"/>
    <xf numFmtId="0" fontId="19" fillId="4" borderId="0" xfId="0" quotePrefix="1" applyFont="1" applyFill="1"/>
    <xf numFmtId="0" fontId="10" fillId="2" borderId="14" xfId="1" applyFont="1" applyFill="1" applyBorder="1"/>
    <xf numFmtId="0" fontId="10" fillId="4" borderId="0" xfId="1" applyFont="1" applyFill="1"/>
    <xf numFmtId="0" fontId="11" fillId="4" borderId="0" xfId="1" applyFont="1" applyFill="1"/>
    <xf numFmtId="164" fontId="11" fillId="4" borderId="0" xfId="1" applyNumberFormat="1" applyFont="1" applyFill="1"/>
    <xf numFmtId="164" fontId="11" fillId="4" borderId="2" xfId="1" applyNumberFormat="1" applyFont="1" applyFill="1" applyBorder="1"/>
    <xf numFmtId="164" fontId="10" fillId="4" borderId="0" xfId="1" applyNumberFormat="1" applyFont="1" applyFill="1"/>
    <xf numFmtId="0" fontId="11" fillId="2" borderId="5" xfId="1" applyFont="1" applyFill="1" applyBorder="1"/>
    <xf numFmtId="0" fontId="11" fillId="2" borderId="13" xfId="1" applyFont="1" applyFill="1" applyBorder="1"/>
    <xf numFmtId="0" fontId="11" fillId="4" borderId="10" xfId="1" applyFont="1" applyFill="1" applyBorder="1" applyAlignment="1">
      <alignment horizontal="left"/>
    </xf>
    <xf numFmtId="10" fontId="24" fillId="4" borderId="0" xfId="1" applyNumberFormat="1" applyFont="1" applyFill="1"/>
    <xf numFmtId="0" fontId="10" fillId="4" borderId="10" xfId="1" applyFont="1" applyFill="1" applyBorder="1"/>
    <xf numFmtId="37" fontId="11" fillId="4" borderId="11" xfId="1" applyNumberFormat="1" applyFont="1" applyFill="1" applyBorder="1"/>
    <xf numFmtId="0" fontId="11" fillId="4" borderId="11" xfId="1" applyFont="1" applyFill="1" applyBorder="1"/>
    <xf numFmtId="174" fontId="24" fillId="4" borderId="0" xfId="1" applyNumberFormat="1" applyFont="1" applyFill="1"/>
    <xf numFmtId="38" fontId="11" fillId="4" borderId="11" xfId="1" applyNumberFormat="1" applyFont="1" applyFill="1" applyBorder="1"/>
    <xf numFmtId="0" fontId="11" fillId="4" borderId="10" xfId="1" applyFont="1" applyFill="1" applyBorder="1"/>
    <xf numFmtId="177" fontId="24" fillId="4" borderId="0" xfId="1" applyNumberFormat="1" applyFont="1" applyFill="1"/>
    <xf numFmtId="0" fontId="10" fillId="4" borderId="4" xfId="1" applyFont="1" applyFill="1" applyBorder="1"/>
    <xf numFmtId="0" fontId="11" fillId="4" borderId="2" xfId="1" applyFont="1" applyFill="1" applyBorder="1"/>
    <xf numFmtId="0" fontId="11" fillId="4" borderId="4" xfId="1" applyFont="1" applyFill="1" applyBorder="1"/>
    <xf numFmtId="0" fontId="11" fillId="4" borderId="3" xfId="1" applyFont="1" applyFill="1" applyBorder="1"/>
    <xf numFmtId="0" fontId="10" fillId="2" borderId="12" xfId="1" applyFont="1" applyFill="1" applyBorder="1"/>
    <xf numFmtId="39" fontId="11" fillId="4" borderId="11" xfId="1" applyNumberFormat="1" applyFont="1" applyFill="1" applyBorder="1"/>
    <xf numFmtId="0" fontId="11" fillId="4" borderId="0" xfId="2" applyFont="1" applyFill="1"/>
    <xf numFmtId="0" fontId="19" fillId="4" borderId="0" xfId="1" applyFill="1"/>
    <xf numFmtId="0" fontId="11" fillId="4" borderId="1" xfId="1" applyFont="1" applyFill="1" applyBorder="1"/>
    <xf numFmtId="0" fontId="11" fillId="4" borderId="0" xfId="1" applyFont="1" applyFill="1" applyAlignment="1">
      <alignment horizontal="left"/>
    </xf>
    <xf numFmtId="164" fontId="11" fillId="4" borderId="11" xfId="1" applyNumberFormat="1" applyFont="1" applyFill="1" applyBorder="1"/>
    <xf numFmtId="173" fontId="13" fillId="4" borderId="15" xfId="2" applyNumberFormat="1" applyFont="1" applyFill="1" applyBorder="1"/>
    <xf numFmtId="165" fontId="11" fillId="4" borderId="11" xfId="2" applyNumberFormat="1" applyFont="1" applyFill="1" applyBorder="1"/>
    <xf numFmtId="0" fontId="10" fillId="4" borderId="2" xfId="1" applyFont="1" applyFill="1" applyBorder="1" applyAlignment="1">
      <alignment horizontal="left"/>
    </xf>
    <xf numFmtId="165" fontId="10" fillId="4" borderId="3" xfId="2" applyNumberFormat="1" applyFont="1" applyFill="1" applyBorder="1"/>
    <xf numFmtId="0" fontId="10" fillId="2" borderId="5" xfId="1" applyFont="1" applyFill="1" applyBorder="1"/>
    <xf numFmtId="0" fontId="10" fillId="2" borderId="13" xfId="1" applyFont="1" applyFill="1" applyBorder="1"/>
    <xf numFmtId="0" fontId="11" fillId="4" borderId="8" xfId="1" applyFont="1" applyFill="1" applyBorder="1"/>
    <xf numFmtId="0" fontId="11" fillId="4" borderId="1" xfId="1" applyFont="1" applyFill="1" applyBorder="1" applyAlignment="1">
      <alignment horizontal="left"/>
    </xf>
    <xf numFmtId="164" fontId="11" fillId="4" borderId="9" xfId="1" applyNumberFormat="1" applyFont="1" applyFill="1" applyBorder="1"/>
    <xf numFmtId="9" fontId="13" fillId="4" borderId="15" xfId="2" applyNumberFormat="1" applyFont="1" applyFill="1" applyBorder="1"/>
    <xf numFmtId="164" fontId="11" fillId="4" borderId="11" xfId="2" applyNumberFormat="1" applyFont="1" applyFill="1" applyBorder="1"/>
    <xf numFmtId="164" fontId="10" fillId="4" borderId="3" xfId="2" applyNumberFormat="1" applyFont="1" applyFill="1" applyBorder="1"/>
    <xf numFmtId="164" fontId="10" fillId="4" borderId="11" xfId="1" applyNumberFormat="1" applyFont="1" applyFill="1" applyBorder="1"/>
    <xf numFmtId="0" fontId="10" fillId="4" borderId="2" xfId="1" applyFont="1" applyFill="1" applyBorder="1"/>
    <xf numFmtId="0" fontId="10" fillId="2" borderId="5" xfId="1" applyFont="1" applyFill="1" applyBorder="1" applyAlignment="1">
      <alignment horizontal="right"/>
    </xf>
    <xf numFmtId="0" fontId="10" fillId="2" borderId="13" xfId="1" applyFont="1" applyFill="1" applyBorder="1" applyAlignment="1">
      <alignment horizontal="right"/>
    </xf>
    <xf numFmtId="38" fontId="11" fillId="0" borderId="0" xfId="0" applyNumberFormat="1" applyFont="1"/>
    <xf numFmtId="175" fontId="11" fillId="0" borderId="0" xfId="0" applyNumberFormat="1" applyFont="1"/>
    <xf numFmtId="0" fontId="10" fillId="4" borderId="0" xfId="0" applyFont="1" applyFill="1" applyAlignment="1">
      <alignment horizontal="right" wrapText="1"/>
    </xf>
    <xf numFmtId="0" fontId="19" fillId="0" borderId="0" xfId="1"/>
    <xf numFmtId="0" fontId="11" fillId="0" borderId="14" xfId="1" applyFont="1" applyBorder="1"/>
    <xf numFmtId="165" fontId="11" fillId="0" borderId="0" xfId="1" applyNumberFormat="1" applyFont="1"/>
    <xf numFmtId="164" fontId="11" fillId="2" borderId="14" xfId="1" applyNumberFormat="1" applyFont="1" applyFill="1" applyBorder="1"/>
    <xf numFmtId="164" fontId="10" fillId="2" borderId="14" xfId="1" applyNumberFormat="1" applyFont="1" applyFill="1" applyBorder="1" applyAlignment="1">
      <alignment horizontal="centerContinuous"/>
    </xf>
    <xf numFmtId="0" fontId="11" fillId="4" borderId="5" xfId="0" applyFont="1" applyFill="1" applyBorder="1"/>
    <xf numFmtId="38" fontId="13" fillId="4" borderId="5" xfId="0" applyNumberFormat="1" applyFont="1" applyFill="1" applyBorder="1" applyAlignment="1">
      <alignment horizontal="right" wrapText="1"/>
    </xf>
    <xf numFmtId="0" fontId="11" fillId="0" borderId="0" xfId="1" applyFont="1" applyAlignment="1">
      <alignment horizontal="center"/>
    </xf>
    <xf numFmtId="0" fontId="10" fillId="0" borderId="0" xfId="1" applyFont="1" applyAlignment="1">
      <alignment horizontal="right"/>
    </xf>
    <xf numFmtId="164" fontId="10" fillId="2" borderId="14" xfId="1" applyNumberFormat="1" applyFont="1" applyFill="1" applyBorder="1" applyAlignment="1">
      <alignment horizontal="center"/>
    </xf>
    <xf numFmtId="0" fontId="11" fillId="2" borderId="14" xfId="1" applyFont="1" applyFill="1" applyBorder="1" applyAlignment="1">
      <alignment horizontal="center"/>
    </xf>
    <xf numFmtId="0" fontId="10" fillId="2" borderId="14" xfId="1" applyFont="1" applyFill="1" applyBorder="1" applyAlignment="1">
      <alignment horizontal="center"/>
    </xf>
    <xf numFmtId="0" fontId="11" fillId="0" borderId="0" xfId="1" applyFont="1" applyAlignment="1">
      <alignment horizontal="centerContinuous"/>
    </xf>
    <xf numFmtId="0" fontId="10" fillId="2" borderId="11" xfId="1" applyFont="1" applyFill="1" applyBorder="1" applyAlignment="1">
      <alignment horizontal="centerContinuous"/>
    </xf>
    <xf numFmtId="0" fontId="10" fillId="0" borderId="0" xfId="1" applyFont="1" applyAlignment="1">
      <alignment horizontal="centerContinuous"/>
    </xf>
    <xf numFmtId="169" fontId="10" fillId="2" borderId="14" xfId="1" applyNumberFormat="1" applyFont="1" applyFill="1" applyBorder="1" applyAlignment="1">
      <alignment horizontal="right"/>
    </xf>
    <xf numFmtId="169" fontId="10" fillId="2" borderId="3" xfId="1" applyNumberFormat="1" applyFont="1" applyFill="1" applyBorder="1" applyAlignment="1">
      <alignment horizontal="right"/>
    </xf>
    <xf numFmtId="170" fontId="10" fillId="2" borderId="14" xfId="1" applyNumberFormat="1" applyFont="1" applyFill="1" applyBorder="1" applyAlignment="1">
      <alignment horizontal="right"/>
    </xf>
    <xf numFmtId="170" fontId="10" fillId="0" borderId="0" xfId="1" applyNumberFormat="1" applyFont="1" applyAlignment="1">
      <alignment horizontal="right"/>
    </xf>
    <xf numFmtId="164" fontId="11" fillId="0" borderId="11" xfId="1" applyNumberFormat="1" applyFont="1" applyBorder="1"/>
    <xf numFmtId="165" fontId="26" fillId="0" borderId="11" xfId="1" applyNumberFormat="1" applyFont="1" applyBorder="1"/>
    <xf numFmtId="165" fontId="26" fillId="0" borderId="0" xfId="1" applyNumberFormat="1" applyFont="1"/>
    <xf numFmtId="164" fontId="26" fillId="0" borderId="0" xfId="1" applyNumberFormat="1" applyFont="1"/>
    <xf numFmtId="165" fontId="20" fillId="0" borderId="11" xfId="1" applyNumberFormat="1" applyFont="1" applyBorder="1"/>
    <xf numFmtId="165" fontId="20" fillId="0" borderId="0" xfId="1" applyNumberFormat="1" applyFont="1"/>
    <xf numFmtId="165" fontId="11" fillId="0" borderId="11" xfId="1" applyNumberFormat="1" applyFont="1" applyBorder="1"/>
    <xf numFmtId="164" fontId="11" fillId="0" borderId="14" xfId="1" applyNumberFormat="1" applyFont="1" applyBorder="1"/>
    <xf numFmtId="165" fontId="11" fillId="0" borderId="3" xfId="1" applyNumberFormat="1" applyFont="1" applyBorder="1"/>
    <xf numFmtId="165" fontId="11" fillId="0" borderId="14" xfId="1" applyNumberFormat="1" applyFont="1" applyBorder="1"/>
    <xf numFmtId="9" fontId="20" fillId="0" borderId="0" xfId="1" applyNumberFormat="1" applyFont="1" applyAlignment="1">
      <alignment horizontal="center"/>
    </xf>
    <xf numFmtId="164" fontId="10" fillId="0" borderId="0" xfId="1" applyNumberFormat="1" applyFont="1"/>
    <xf numFmtId="0" fontId="11" fillId="0" borderId="0" xfId="2" applyFont="1"/>
    <xf numFmtId="0" fontId="11" fillId="0" borderId="0" xfId="1" quotePrefix="1" applyFont="1"/>
    <xf numFmtId="0" fontId="27" fillId="2" borderId="8" xfId="1" applyFont="1" applyFill="1" applyBorder="1"/>
    <xf numFmtId="0" fontId="11" fillId="2" borderId="1" xfId="1" applyFont="1" applyFill="1" applyBorder="1"/>
    <xf numFmtId="0" fontId="11" fillId="2" borderId="9" xfId="1" applyFont="1" applyFill="1" applyBorder="1"/>
    <xf numFmtId="0" fontId="11" fillId="0" borderId="1" xfId="1" applyFont="1" applyBorder="1" applyAlignment="1">
      <alignment horizontal="left"/>
    </xf>
    <xf numFmtId="0" fontId="11" fillId="0" borderId="1" xfId="1" applyFont="1" applyBorder="1"/>
    <xf numFmtId="0" fontId="11" fillId="0" borderId="9" xfId="1" applyFont="1" applyBorder="1"/>
    <xf numFmtId="0" fontId="11" fillId="0" borderId="0" xfId="1" applyFont="1" applyAlignment="1">
      <alignment horizontal="left"/>
    </xf>
    <xf numFmtId="0" fontId="11" fillId="0" borderId="10" xfId="1" applyFont="1" applyBorder="1" applyAlignment="1">
      <alignment horizontal="left"/>
    </xf>
    <xf numFmtId="178" fontId="13" fillId="0" borderId="11" xfId="1" applyNumberFormat="1" applyFont="1" applyBorder="1"/>
    <xf numFmtId="8" fontId="26" fillId="0" borderId="11" xfId="1" applyNumberFormat="1" applyFont="1" applyBorder="1"/>
    <xf numFmtId="173" fontId="13" fillId="0" borderId="7" xfId="2" applyNumberFormat="1" applyFont="1" applyBorder="1" applyAlignment="1">
      <alignment horizontal="center"/>
    </xf>
    <xf numFmtId="38" fontId="13" fillId="0" borderId="11" xfId="1" applyNumberFormat="1" applyFont="1" applyBorder="1"/>
    <xf numFmtId="0" fontId="11" fillId="0" borderId="14" xfId="1" applyFont="1" applyBorder="1" applyAlignment="1">
      <alignment horizontal="left"/>
    </xf>
    <xf numFmtId="165" fontId="11" fillId="0" borderId="14" xfId="2" applyNumberFormat="1" applyFont="1" applyBorder="1"/>
    <xf numFmtId="0" fontId="11" fillId="0" borderId="4" xfId="1" applyFont="1" applyBorder="1" applyAlignment="1">
      <alignment horizontal="left"/>
    </xf>
    <xf numFmtId="4" fontId="13" fillId="0" borderId="3" xfId="1" applyNumberFormat="1" applyFont="1" applyBorder="1"/>
    <xf numFmtId="38" fontId="26" fillId="0" borderId="3" xfId="1" applyNumberFormat="1" applyFont="1" applyBorder="1"/>
    <xf numFmtId="0" fontId="10" fillId="0" borderId="0" xfId="1" applyFont="1" applyAlignment="1">
      <alignment horizontal="left"/>
    </xf>
    <xf numFmtId="165" fontId="10" fillId="0" borderId="0" xfId="2" applyNumberFormat="1" applyFont="1"/>
    <xf numFmtId="0" fontId="10" fillId="0" borderId="10" xfId="1" applyFont="1" applyBorder="1"/>
    <xf numFmtId="10" fontId="11" fillId="0" borderId="11" xfId="1" applyNumberFormat="1" applyFont="1" applyBorder="1"/>
    <xf numFmtId="179" fontId="10" fillId="0" borderId="11" xfId="1" applyNumberFormat="1" applyFont="1" applyBorder="1"/>
    <xf numFmtId="0" fontId="11" fillId="0" borderId="10" xfId="1" applyFont="1" applyBorder="1"/>
    <xf numFmtId="166" fontId="11" fillId="0" borderId="11" xfId="1" applyNumberFormat="1" applyFont="1" applyBorder="1"/>
    <xf numFmtId="164" fontId="11" fillId="0" borderId="0" xfId="2" applyNumberFormat="1" applyFont="1"/>
    <xf numFmtId="175" fontId="13" fillId="0" borderId="7" xfId="2" applyNumberFormat="1" applyFont="1" applyBorder="1" applyAlignment="1">
      <alignment horizontal="center"/>
    </xf>
    <xf numFmtId="178" fontId="11" fillId="0" borderId="3" xfId="1" applyNumberFormat="1" applyFont="1" applyBorder="1"/>
    <xf numFmtId="166" fontId="11" fillId="0" borderId="3" xfId="1" applyNumberFormat="1" applyFont="1" applyBorder="1"/>
    <xf numFmtId="0" fontId="10" fillId="0" borderId="4" xfId="1" applyFont="1" applyBorder="1"/>
    <xf numFmtId="0" fontId="10" fillId="0" borderId="14" xfId="1" applyFont="1" applyBorder="1"/>
    <xf numFmtId="179" fontId="10" fillId="0" borderId="3" xfId="1" applyNumberFormat="1" applyFont="1" applyBorder="1"/>
    <xf numFmtId="164" fontId="10" fillId="0" borderId="0" xfId="2" applyNumberFormat="1" applyFont="1"/>
    <xf numFmtId="179" fontId="11" fillId="0" borderId="0" xfId="1" applyNumberFormat="1" applyFont="1"/>
    <xf numFmtId="9" fontId="11" fillId="0" borderId="0" xfId="1" applyNumberFormat="1" applyFont="1"/>
    <xf numFmtId="166" fontId="11" fillId="0" borderId="14" xfId="1" applyNumberFormat="1" applyFont="1" applyBorder="1"/>
    <xf numFmtId="38" fontId="10" fillId="0" borderId="0" xfId="1" applyNumberFormat="1" applyFont="1"/>
    <xf numFmtId="168" fontId="10" fillId="0" borderId="0" xfId="1" applyNumberFormat="1" applyFont="1"/>
    <xf numFmtId="171" fontId="10" fillId="0" borderId="0" xfId="1" applyNumberFormat="1" applyFont="1"/>
    <xf numFmtId="167" fontId="11" fillId="0" borderId="0" xfId="1" applyNumberFormat="1" applyFont="1"/>
    <xf numFmtId="164" fontId="32" fillId="0" borderId="0" xfId="1" applyNumberFormat="1" applyFont="1"/>
    <xf numFmtId="165" fontId="32" fillId="0" borderId="0" xfId="1" applyNumberFormat="1" applyFont="1"/>
    <xf numFmtId="10" fontId="13" fillId="7" borderId="7" xfId="2" applyNumberFormat="1" applyFont="1" applyFill="1" applyBorder="1"/>
    <xf numFmtId="164" fontId="11" fillId="7" borderId="0" xfId="1" applyNumberFormat="1" applyFont="1" applyFill="1"/>
    <xf numFmtId="164" fontId="10" fillId="6" borderId="0" xfId="1" applyNumberFormat="1" applyFont="1" applyFill="1"/>
    <xf numFmtId="180" fontId="11" fillId="0" borderId="0" xfId="1" applyNumberFormat="1" applyFont="1"/>
    <xf numFmtId="180" fontId="11" fillId="6" borderId="0" xfId="1" applyNumberFormat="1" applyFont="1" applyFill="1"/>
    <xf numFmtId="10" fontId="13" fillId="8" borderId="7" xfId="2" applyNumberFormat="1" applyFont="1" applyFill="1" applyBorder="1"/>
    <xf numFmtId="164" fontId="11" fillId="8" borderId="0" xfId="1" applyNumberFormat="1" applyFont="1" applyFill="1"/>
    <xf numFmtId="164" fontId="11" fillId="9" borderId="0" xfId="1" applyNumberFormat="1" applyFont="1" applyFill="1"/>
    <xf numFmtId="164" fontId="11" fillId="9" borderId="11" xfId="1" applyNumberFormat="1" applyFont="1" applyFill="1" applyBorder="1"/>
    <xf numFmtId="165" fontId="11" fillId="9" borderId="0" xfId="1" applyNumberFormat="1" applyFont="1" applyFill="1"/>
    <xf numFmtId="164" fontId="10" fillId="9" borderId="0" xfId="1" applyNumberFormat="1" applyFont="1" applyFill="1"/>
    <xf numFmtId="164" fontId="10" fillId="9" borderId="11" xfId="1" applyNumberFormat="1" applyFont="1" applyFill="1" applyBorder="1"/>
    <xf numFmtId="164" fontId="11" fillId="9" borderId="2" xfId="1" applyNumberFormat="1" applyFont="1" applyFill="1" applyBorder="1"/>
    <xf numFmtId="10" fontId="13" fillId="9" borderId="7" xfId="2" applyNumberFormat="1" applyFont="1" applyFill="1" applyBorder="1"/>
    <xf numFmtId="10" fontId="10" fillId="9" borderId="2" xfId="1" applyNumberFormat="1" applyFont="1" applyFill="1" applyBorder="1"/>
    <xf numFmtId="0" fontId="35" fillId="0" borderId="0" xfId="12"/>
    <xf numFmtId="7" fontId="10" fillId="13" borderId="14" xfId="1" applyNumberFormat="1" applyFont="1" applyFill="1" applyBorder="1"/>
    <xf numFmtId="7" fontId="10" fillId="13" borderId="3" xfId="1" applyNumberFormat="1" applyFont="1" applyFill="1" applyBorder="1"/>
    <xf numFmtId="0" fontId="11" fillId="6" borderId="0" xfId="1" applyFont="1" applyFill="1"/>
    <xf numFmtId="0" fontId="11" fillId="14" borderId="0" xfId="1" applyFont="1" applyFill="1"/>
    <xf numFmtId="0" fontId="21" fillId="6" borderId="0" xfId="0" applyFont="1" applyFill="1"/>
    <xf numFmtId="0" fontId="10" fillId="6" borderId="0" xfId="1" applyFont="1" applyFill="1"/>
    <xf numFmtId="0" fontId="21" fillId="14" borderId="0" xfId="0" applyFont="1" applyFill="1"/>
    <xf numFmtId="0" fontId="10" fillId="14" borderId="0" xfId="1" applyFont="1" applyFill="1"/>
    <xf numFmtId="0" fontId="19" fillId="0" borderId="0" xfId="0" applyFont="1"/>
    <xf numFmtId="0" fontId="11" fillId="6" borderId="10" xfId="1" applyFont="1" applyFill="1" applyBorder="1" applyAlignment="1">
      <alignment horizontal="left"/>
    </xf>
    <xf numFmtId="10" fontId="11" fillId="9" borderId="0" xfId="14" applyNumberFormat="1" applyFont="1" applyFill="1"/>
    <xf numFmtId="0" fontId="10" fillId="4" borderId="0" xfId="2" applyFont="1" applyFill="1" applyAlignment="1">
      <alignment horizontal="right"/>
    </xf>
    <xf numFmtId="0" fontId="11" fillId="0" borderId="0" xfId="1" applyFont="1" applyBorder="1"/>
    <xf numFmtId="0" fontId="11" fillId="6" borderId="14" xfId="1" applyFont="1" applyFill="1" applyBorder="1"/>
    <xf numFmtId="38" fontId="11" fillId="9" borderId="0" xfId="1" applyNumberFormat="1" applyFont="1" applyFill="1"/>
    <xf numFmtId="38" fontId="11" fillId="9" borderId="11" xfId="1" applyNumberFormat="1" applyFont="1" applyFill="1" applyBorder="1"/>
    <xf numFmtId="0" fontId="33" fillId="0" borderId="0" xfId="18" applyFont="1"/>
    <xf numFmtId="0" fontId="1" fillId="0" borderId="0" xfId="18"/>
    <xf numFmtId="0" fontId="1" fillId="0" borderId="0" xfId="18" applyAlignment="1">
      <alignment horizontal="center" wrapText="1"/>
    </xf>
    <xf numFmtId="181" fontId="1" fillId="0" borderId="0" xfId="19" applyNumberFormat="1"/>
    <xf numFmtId="0" fontId="1" fillId="11" borderId="0" xfId="18" applyFill="1"/>
    <xf numFmtId="181" fontId="1" fillId="11" borderId="0" xfId="19" applyNumberFormat="1" applyFill="1"/>
    <xf numFmtId="0" fontId="1" fillId="12" borderId="8" xfId="18" applyFill="1" applyBorder="1"/>
    <xf numFmtId="181" fontId="1" fillId="12" borderId="9" xfId="19" applyNumberFormat="1" applyFill="1" applyBorder="1"/>
    <xf numFmtId="168" fontId="1" fillId="11" borderId="0" xfId="19" applyNumberFormat="1" applyFill="1"/>
    <xf numFmtId="0" fontId="1" fillId="0" borderId="0" xfId="18" quotePrefix="1"/>
    <xf numFmtId="9" fontId="1" fillId="0" borderId="0" xfId="20"/>
    <xf numFmtId="0" fontId="1" fillId="12" borderId="10" xfId="18" applyFill="1" applyBorder="1"/>
    <xf numFmtId="0" fontId="1" fillId="12" borderId="11" xfId="18" applyFill="1" applyBorder="1"/>
    <xf numFmtId="9" fontId="1" fillId="12" borderId="11" xfId="20" applyFill="1" applyBorder="1"/>
    <xf numFmtId="175" fontId="1" fillId="12" borderId="11" xfId="20" applyNumberFormat="1" applyFill="1" applyBorder="1"/>
    <xf numFmtId="9" fontId="1" fillId="11" borderId="0" xfId="20" applyFill="1"/>
    <xf numFmtId="0" fontId="1" fillId="12" borderId="4" xfId="18" applyFill="1" applyBorder="1"/>
    <xf numFmtId="9" fontId="1" fillId="12" borderId="3" xfId="20" applyFill="1" applyBorder="1"/>
    <xf numFmtId="9" fontId="1" fillId="11" borderId="0" xfId="18" applyNumberFormat="1" applyFill="1"/>
    <xf numFmtId="0" fontId="1" fillId="10" borderId="16" xfId="18" applyFill="1" applyBorder="1"/>
    <xf numFmtId="0" fontId="1" fillId="10" borderId="0" xfId="18" applyFill="1" applyAlignment="1">
      <alignment horizontal="center"/>
    </xf>
    <xf numFmtId="0" fontId="1" fillId="10" borderId="0" xfId="18" applyFill="1" applyAlignment="1">
      <alignment horizontal="left" vertical="center"/>
    </xf>
    <xf numFmtId="181" fontId="1" fillId="10" borderId="0" xfId="18" applyNumberFormat="1" applyFill="1" applyAlignment="1">
      <alignment horizontal="center"/>
    </xf>
    <xf numFmtId="181" fontId="1" fillId="10" borderId="0" xfId="19" applyNumberFormat="1" applyFill="1" applyAlignment="1">
      <alignment horizontal="center"/>
    </xf>
    <xf numFmtId="181" fontId="1" fillId="10" borderId="0" xfId="18" applyNumberFormat="1" applyFill="1"/>
    <xf numFmtId="0" fontId="34" fillId="0" borderId="0" xfId="18" applyFont="1"/>
    <xf numFmtId="0" fontId="10" fillId="0" borderId="0" xfId="1" applyFont="1" applyAlignment="1">
      <alignment horizontal="right" vertical="center"/>
    </xf>
    <xf numFmtId="0" fontId="11" fillId="0" borderId="0" xfId="1" applyFont="1" applyAlignment="1">
      <alignment horizontal="center" vertical="center"/>
    </xf>
    <xf numFmtId="0" fontId="37" fillId="0" borderId="0" xfId="1" applyFont="1" applyAlignment="1">
      <alignment horizontal="center" vertical="center"/>
    </xf>
    <xf numFmtId="0" fontId="19" fillId="5" borderId="12" xfId="0" applyFont="1" applyFill="1" applyBorder="1" applyAlignment="1">
      <alignment horizontal="center" vertical="center" wrapText="1"/>
    </xf>
    <xf numFmtId="0" fontId="0" fillId="0" borderId="5" xfId="0" applyBorder="1"/>
    <xf numFmtId="0" fontId="0" fillId="0" borderId="13" xfId="0" applyBorder="1"/>
    <xf numFmtId="181" fontId="4" fillId="11" borderId="0" xfId="10" applyNumberFormat="1" applyFill="1"/>
  </cellXfs>
  <cellStyles count="21">
    <cellStyle name="Comma 2" xfId="4"/>
    <cellStyle name="Comma 3" xfId="6"/>
    <cellStyle name="Comma 4" xfId="10"/>
    <cellStyle name="Comma 4 2" xfId="16"/>
    <cellStyle name="Comma 4 3" xfId="19"/>
    <cellStyle name="Hyperlink" xfId="12" builtinId="8"/>
    <cellStyle name="Normal" xfId="0" builtinId="0"/>
    <cellStyle name="Normal 2" xfId="1"/>
    <cellStyle name="Normal 3" xfId="3"/>
    <cellStyle name="Normal 4" xfId="5"/>
    <cellStyle name="Normal 5" xfId="7"/>
    <cellStyle name="Normal 6" xfId="8"/>
    <cellStyle name="Normal 7" xfId="9"/>
    <cellStyle name="Normal 7 2" xfId="15"/>
    <cellStyle name="Normal 7 3" xfId="18"/>
    <cellStyle name="Normal 8" xfId="13"/>
    <cellStyle name="Normal_DCF analysis" xfId="2"/>
    <cellStyle name="Percent" xfId="14" builtinId="5"/>
    <cellStyle name="Percent 2" xfId="11"/>
    <cellStyle name="Percent 2 2" xfId="17"/>
    <cellStyle name="Percent 2 3" xfId="20"/>
  </cellStyles>
  <dxfs count="0"/>
  <tableStyles count="0" defaultTableStyle="TableStyleMedium9" defaultPivotStyle="PivotStyleLight16"/>
  <colors>
    <mruColors>
      <color rgb="FF66CC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200025</xdr:colOff>
      <xdr:row>0</xdr:row>
      <xdr:rowOff>19050</xdr:rowOff>
    </xdr:from>
    <xdr:to>
      <xdr:col>11</xdr:col>
      <xdr:colOff>619125</xdr:colOff>
      <xdr:row>0</xdr:row>
      <xdr:rowOff>790575</xdr:rowOff>
    </xdr:to>
    <xdr:pic>
      <xdr:nvPicPr>
        <xdr:cNvPr id="2" name="Picture 22" descr="bbylogo">
          <a:extLst>
            <a:ext uri="{FF2B5EF4-FFF2-40B4-BE49-F238E27FC236}">
              <a16:creationId xmlns:a16="http://schemas.microsoft.com/office/drawing/2014/main" id="{9AA9FBF1-0B55-4A19-A3E7-D836376E891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581900" y="19050"/>
          <a:ext cx="1066800" cy="7715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200025</xdr:colOff>
      <xdr:row>0</xdr:row>
      <xdr:rowOff>19050</xdr:rowOff>
    </xdr:from>
    <xdr:to>
      <xdr:col>11</xdr:col>
      <xdr:colOff>619125</xdr:colOff>
      <xdr:row>0</xdr:row>
      <xdr:rowOff>790575</xdr:rowOff>
    </xdr:to>
    <xdr:pic>
      <xdr:nvPicPr>
        <xdr:cNvPr id="2" name="Picture 22" descr="bbylogo">
          <a:extLst>
            <a:ext uri="{FF2B5EF4-FFF2-40B4-BE49-F238E27FC236}">
              <a16:creationId xmlns:a16="http://schemas.microsoft.com/office/drawing/2014/main" id="{AAF2072A-A38F-4161-8733-63EE818CCCE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581900" y="19050"/>
          <a:ext cx="1066800" cy="7715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ufcp2/Desktop/FP/Finance/NYSF_Walmart_Solution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rk/Downloads/AnEx/Training/Materials%20'12/Case%20Study/Best%20Buy/AnEx%20Training%20-%20Best%20buy%20case%20study.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rk/Desktop/Fordham%20-%20Intro%20to%20Financial%20Modeling%20Course/NYSF_Best_Buy_Valuation%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tatement"/>
      <sheetName val="Cash Flow Statement"/>
      <sheetName val="Balance Sheet"/>
      <sheetName val="Depreciation"/>
      <sheetName val="Operating Working Capital"/>
      <sheetName val="Debt Schedule"/>
      <sheetName val="---&gt; Valuation"/>
      <sheetName val="DCF Analysis"/>
      <sheetName val="Comparable Companies"/>
      <sheetName val="Costco Comp"/>
      <sheetName val="Wal-Mart Comp"/>
      <sheetName val="Target Comp"/>
      <sheetName val="Dollar General"/>
      <sheetName val="Dollar Tree"/>
      <sheetName val="Family Dollar Store"/>
      <sheetName val="Precedent Transactions"/>
      <sheetName val="A&amp;P - Pathmark"/>
      <sheetName val="WFM - Wild Oats"/>
      <sheetName val="Football field"/>
    </sheetNames>
    <sheetDataSet>
      <sheetData sheetId="0"/>
      <sheetData sheetId="1">
        <row r="3">
          <cell r="A3" t="str">
            <v>(in US$ millions)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54">
          <cell r="L54">
            <v>1000</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Scenarios"/>
      <sheetName val="Income Statement"/>
      <sheetName val="Cash Flow Statement"/>
      <sheetName val="Balance Sheet"/>
      <sheetName val="Balance Sheet Adjustments"/>
      <sheetName val="Depreciation"/>
      <sheetName val="Operating Working Capital"/>
      <sheetName val="Debt Schedule"/>
      <sheetName val="Returns Analysis"/>
      <sheetName val="Debt Covenants"/>
      <sheetName val="DCF Analysis"/>
    </sheetNames>
    <sheetDataSet>
      <sheetData sheetId="0" refreshError="1"/>
      <sheetData sheetId="1" refreshError="1"/>
      <sheetData sheetId="2">
        <row r="5">
          <cell r="D5">
            <v>2010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 alone---"/>
      <sheetName val="Scenario"/>
      <sheetName val="Income statement"/>
      <sheetName val="Cash flow statement"/>
      <sheetName val="Operating working capital"/>
      <sheetName val="Balance Sheet"/>
      <sheetName val="Depreciation schedule"/>
      <sheetName val="Debt schedule"/>
      <sheetName val="Valution---&gt;"/>
      <sheetName val="DCF"/>
      <sheetName val="COMPS"/>
      <sheetName val="Football field"/>
    </sheetNames>
    <sheetDataSet>
      <sheetData sheetId="0" refreshError="1"/>
      <sheetData sheetId="1" refreshError="1"/>
      <sheetData sheetId="2">
        <row r="33">
          <cell r="H33">
            <v>0.33861671469740634</v>
          </cell>
        </row>
      </sheetData>
      <sheetData sheetId="3" refreshError="1"/>
      <sheetData sheetId="4" refreshError="1"/>
      <sheetData sheetId="5" refreshError="1"/>
      <sheetData sheetId="6" refreshError="1"/>
      <sheetData sheetId="7" refreshError="1"/>
      <sheetData sheetId="8" refreshError="1"/>
      <sheetData sheetId="9" refreshError="1"/>
      <sheetData sheetId="10">
        <row r="36">
          <cell r="F36">
            <v>1061</v>
          </cell>
        </row>
      </sheetData>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www.gurufocus.com/term/ev2ebitda/BBY/EV-to-EBITDA/Best-Buy-Co-Inc"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indexed="16"/>
  </sheetPr>
  <dimension ref="B1:Q42"/>
  <sheetViews>
    <sheetView showGridLines="0" zoomScale="130" zoomScaleNormal="130" workbookViewId="0">
      <selection activeCell="M24" sqref="M24"/>
    </sheetView>
  </sheetViews>
  <sheetFormatPr defaultColWidth="9.140625" defaultRowHeight="12" x14ac:dyDescent="0.2"/>
  <cols>
    <col min="1" max="1" width="3.7109375" style="27" customWidth="1"/>
    <col min="2" max="3" width="2.7109375" style="27" customWidth="1"/>
    <col min="4" max="4" width="43.28515625" style="27" customWidth="1"/>
    <col min="5" max="14" width="9.7109375" style="27" customWidth="1"/>
    <col min="15" max="15" width="9.140625" style="27"/>
    <col min="16" max="16" width="10.5703125" style="27" bestFit="1" customWidth="1"/>
    <col min="17" max="16384" width="9.140625" style="27"/>
  </cols>
  <sheetData>
    <row r="1" spans="2:16" ht="66" customHeight="1" x14ac:dyDescent="0.2">
      <c r="B1" s="25"/>
      <c r="C1" s="25"/>
      <c r="D1" s="26"/>
      <c r="E1" s="26"/>
      <c r="F1" s="25"/>
      <c r="G1" s="25"/>
      <c r="H1" s="25"/>
      <c r="I1" s="25"/>
      <c r="J1" s="25"/>
      <c r="K1" s="25"/>
      <c r="L1" s="25"/>
      <c r="M1" s="25"/>
    </row>
    <row r="2" spans="2:16" ht="12.75" customHeight="1" x14ac:dyDescent="0.2">
      <c r="B2" s="28" t="s">
        <v>53</v>
      </c>
      <c r="C2" s="29"/>
      <c r="D2" s="28"/>
      <c r="E2" s="30"/>
      <c r="F2" s="30"/>
      <c r="G2" s="28"/>
      <c r="H2" s="28"/>
      <c r="I2" s="28"/>
      <c r="J2" s="28"/>
      <c r="K2" s="28"/>
      <c r="L2" s="28"/>
      <c r="M2" s="46"/>
      <c r="N2" s="46"/>
    </row>
    <row r="3" spans="2:16" ht="12.75" customHeight="1" x14ac:dyDescent="0.2">
      <c r="B3" s="31" t="s">
        <v>152</v>
      </c>
      <c r="C3" s="32"/>
      <c r="D3" s="33"/>
      <c r="E3" s="158" t="s">
        <v>15</v>
      </c>
      <c r="F3" s="158"/>
      <c r="G3" s="35"/>
      <c r="H3" s="163"/>
      <c r="I3" s="164"/>
      <c r="J3" s="165" t="s">
        <v>16</v>
      </c>
      <c r="K3" s="164"/>
      <c r="L3" s="164"/>
      <c r="M3" s="166"/>
      <c r="N3" s="166"/>
    </row>
    <row r="4" spans="2:16" ht="12.75" customHeight="1" x14ac:dyDescent="0.2">
      <c r="B4" s="31"/>
      <c r="C4" s="32"/>
      <c r="D4" s="33"/>
      <c r="E4" s="39"/>
      <c r="F4" s="39"/>
      <c r="G4" s="167"/>
      <c r="H4" s="40"/>
      <c r="I4" s="40"/>
      <c r="J4" s="40"/>
      <c r="K4" s="40"/>
      <c r="L4" s="40"/>
      <c r="M4" s="168"/>
      <c r="N4" s="168"/>
    </row>
    <row r="5" spans="2:16" ht="12.75" customHeight="1" x14ac:dyDescent="0.2">
      <c r="B5" s="107" t="s">
        <v>153</v>
      </c>
      <c r="C5" s="157"/>
      <c r="D5" s="107"/>
      <c r="E5" s="169">
        <f>'[2]Income Statement'!D5</f>
        <v>2010</v>
      </c>
      <c r="F5" s="169">
        <f t="shared" ref="F5:L5" si="0">E5+1</f>
        <v>2011</v>
      </c>
      <c r="G5" s="170">
        <f t="shared" si="0"/>
        <v>2012</v>
      </c>
      <c r="H5" s="171">
        <f t="shared" si="0"/>
        <v>2013</v>
      </c>
      <c r="I5" s="171">
        <f t="shared" si="0"/>
        <v>2014</v>
      </c>
      <c r="J5" s="171">
        <f t="shared" si="0"/>
        <v>2015</v>
      </c>
      <c r="K5" s="171">
        <f t="shared" si="0"/>
        <v>2016</v>
      </c>
      <c r="L5" s="171">
        <f t="shared" si="0"/>
        <v>2017</v>
      </c>
      <c r="M5" s="172"/>
      <c r="N5" s="172"/>
    </row>
    <row r="6" spans="2:16" ht="21" customHeight="1" x14ac:dyDescent="0.2">
      <c r="B6" s="46" t="s">
        <v>54</v>
      </c>
      <c r="E6" s="45"/>
      <c r="F6" s="45"/>
      <c r="G6" s="173"/>
      <c r="H6" s="45"/>
      <c r="I6" s="45"/>
      <c r="J6" s="45"/>
      <c r="K6" s="45"/>
      <c r="L6" s="45"/>
      <c r="M6" s="45"/>
      <c r="N6" s="45"/>
    </row>
    <row r="7" spans="2:16" ht="12.75" customHeight="1" x14ac:dyDescent="0.2">
      <c r="B7" s="46"/>
      <c r="C7" s="27" t="s">
        <v>1</v>
      </c>
      <c r="E7" s="45"/>
      <c r="F7" s="45"/>
      <c r="G7" s="174">
        <v>2179</v>
      </c>
      <c r="H7" s="175">
        <v>1502.4349999999977</v>
      </c>
      <c r="I7" s="175">
        <v>1319.5572575999981</v>
      </c>
      <c r="J7" s="175">
        <v>1236.2921924479988</v>
      </c>
      <c r="K7" s="175">
        <v>1157.2814485990366</v>
      </c>
      <c r="L7" s="175">
        <v>1144.8517130850312</v>
      </c>
      <c r="M7" s="226" t="s">
        <v>167</v>
      </c>
      <c r="N7" s="176"/>
    </row>
    <row r="8" spans="2:16" ht="12.75" customHeight="1" x14ac:dyDescent="0.2">
      <c r="B8" s="46"/>
      <c r="C8" s="27" t="s">
        <v>55</v>
      </c>
      <c r="E8" s="45"/>
      <c r="F8" s="45"/>
      <c r="G8" s="174">
        <v>945</v>
      </c>
      <c r="H8" s="175">
        <v>951.6869999999999</v>
      </c>
      <c r="I8" s="175">
        <v>989.28071999999997</v>
      </c>
      <c r="J8" s="175">
        <v>1026.3690256</v>
      </c>
      <c r="K8" s="175">
        <v>1060.1265450880001</v>
      </c>
      <c r="L8" s="175">
        <v>1094.7303605388799</v>
      </c>
      <c r="M8" s="226" t="s">
        <v>167</v>
      </c>
      <c r="N8" s="176"/>
    </row>
    <row r="9" spans="2:16" ht="12.75" customHeight="1" x14ac:dyDescent="0.2">
      <c r="B9" s="46"/>
      <c r="C9" s="27" t="s">
        <v>56</v>
      </c>
      <c r="E9" s="45"/>
      <c r="F9" s="45"/>
      <c r="G9" s="177">
        <v>28</v>
      </c>
      <c r="H9" s="178">
        <v>-30</v>
      </c>
      <c r="I9" s="178">
        <v>-134</v>
      </c>
      <c r="J9" s="178">
        <v>28</v>
      </c>
      <c r="K9" s="178">
        <v>-30</v>
      </c>
      <c r="L9" s="178">
        <v>-134</v>
      </c>
      <c r="M9" s="227" t="s">
        <v>168</v>
      </c>
      <c r="N9" s="156"/>
    </row>
    <row r="10" spans="2:16" ht="12.75" customHeight="1" x14ac:dyDescent="0.2">
      <c r="B10" s="46"/>
      <c r="C10" s="27" t="s">
        <v>0</v>
      </c>
      <c r="E10" s="45"/>
      <c r="F10" s="45"/>
      <c r="G10" s="179">
        <v>0</v>
      </c>
      <c r="H10" s="156">
        <v>0</v>
      </c>
      <c r="I10" s="156">
        <v>0</v>
      </c>
      <c r="J10" s="156">
        <v>0</v>
      </c>
      <c r="K10" s="156">
        <v>0</v>
      </c>
      <c r="L10" s="156">
        <v>0</v>
      </c>
      <c r="M10" s="226"/>
      <c r="N10" s="45"/>
    </row>
    <row r="11" spans="2:16" ht="12.75" customHeight="1" x14ac:dyDescent="0.2">
      <c r="B11" s="46"/>
      <c r="C11" s="27" t="s">
        <v>57</v>
      </c>
      <c r="E11" s="45"/>
      <c r="F11" s="45"/>
      <c r="G11" s="177">
        <v>688</v>
      </c>
      <c r="H11" s="178">
        <v>-296.46692931234332</v>
      </c>
      <c r="I11" s="178">
        <v>35.936786066711704</v>
      </c>
      <c r="J11" s="178">
        <v>26.290602864913126</v>
      </c>
      <c r="K11" s="178">
        <v>25.764790807614418</v>
      </c>
      <c r="L11" s="178">
        <v>-12.624747495731015</v>
      </c>
      <c r="M11" s="227" t="s">
        <v>168</v>
      </c>
      <c r="N11" s="175"/>
    </row>
    <row r="12" spans="2:16" ht="12.75" customHeight="1" x14ac:dyDescent="0.2">
      <c r="B12" s="46"/>
      <c r="C12" s="27" t="s">
        <v>58</v>
      </c>
      <c r="E12" s="45"/>
      <c r="F12" s="45"/>
      <c r="G12" s="177">
        <v>-766</v>
      </c>
      <c r="H12" s="178">
        <v>-749.46</v>
      </c>
      <c r="I12" s="178">
        <v>-770.46</v>
      </c>
      <c r="J12" s="178">
        <v>-759.98</v>
      </c>
      <c r="K12" s="178">
        <v>-693</v>
      </c>
      <c r="L12" s="178">
        <v>-683.33</v>
      </c>
      <c r="M12" s="227" t="s">
        <v>168</v>
      </c>
    </row>
    <row r="13" spans="2:16" ht="12.75" customHeight="1" x14ac:dyDescent="0.2">
      <c r="B13" s="46"/>
      <c r="C13" s="27" t="s">
        <v>59</v>
      </c>
      <c r="E13" s="180"/>
      <c r="F13" s="180"/>
      <c r="G13" s="181"/>
      <c r="H13" s="182">
        <f>-H7*$N$17</f>
        <v>-508.74960374639693</v>
      </c>
      <c r="I13" s="182">
        <f>-I7*$N$17</f>
        <v>-446.82414342363052</v>
      </c>
      <c r="J13" s="182">
        <f>-J7*$N$17</f>
        <v>-418.62920061279499</v>
      </c>
      <c r="K13" s="182">
        <f>-K7*$N$17</f>
        <v>-391.8748421048611</v>
      </c>
      <c r="L13" s="182">
        <f>-L7*$N$17</f>
        <v>-387.66592590055092</v>
      </c>
      <c r="M13" s="226" t="s">
        <v>169</v>
      </c>
    </row>
    <row r="14" spans="2:16" s="46" customFormat="1" ht="12.75" customHeight="1" x14ac:dyDescent="0.2">
      <c r="B14" s="46" t="s">
        <v>60</v>
      </c>
      <c r="E14" s="184"/>
      <c r="F14" s="184"/>
      <c r="G14" s="184"/>
      <c r="H14" s="184">
        <f>SUM(H7:H13)</f>
        <v>869.44546694125722</v>
      </c>
      <c r="I14" s="184">
        <f>SUM(I7:I13)</f>
        <v>993.49062024307943</v>
      </c>
      <c r="J14" s="184">
        <f>SUM(J7:J13)</f>
        <v>1138.3426203001168</v>
      </c>
      <c r="K14" s="184">
        <f>SUM(K7:K13)</f>
        <v>1128.2979423897898</v>
      </c>
      <c r="L14" s="184">
        <f>SUM(L7:L13)</f>
        <v>1021.9614002276294</v>
      </c>
      <c r="M14" s="184"/>
      <c r="N14" s="184"/>
    </row>
    <row r="15" spans="2:16" ht="21" customHeight="1" x14ac:dyDescent="0.2">
      <c r="B15" s="46" t="s">
        <v>61</v>
      </c>
      <c r="H15" s="45"/>
      <c r="I15" s="45"/>
      <c r="J15" s="45"/>
      <c r="K15" s="45"/>
      <c r="L15" s="45"/>
      <c r="M15" s="45"/>
    </row>
    <row r="16" spans="2:16" ht="12.75" thickBot="1" x14ac:dyDescent="0.25">
      <c r="B16" s="46"/>
      <c r="C16" s="27" t="s">
        <v>62</v>
      </c>
      <c r="G16" s="185"/>
      <c r="H16" s="45">
        <v>1</v>
      </c>
      <c r="I16" s="45">
        <f>H16+1</f>
        <v>2</v>
      </c>
      <c r="J16" s="45">
        <f>I16+1</f>
        <v>3</v>
      </c>
      <c r="K16" s="45">
        <f>J16+1</f>
        <v>4</v>
      </c>
      <c r="L16" s="45">
        <f>K16+1</f>
        <v>5</v>
      </c>
      <c r="N16" s="161" t="s">
        <v>154</v>
      </c>
      <c r="P16" s="231" t="s">
        <v>170</v>
      </c>
    </row>
    <row r="17" spans="2:17" ht="12.75" thickBot="1" x14ac:dyDescent="0.25">
      <c r="B17" s="46"/>
      <c r="C17" s="27" t="s">
        <v>63</v>
      </c>
      <c r="G17" s="228"/>
      <c r="H17" s="229"/>
      <c r="I17" s="229"/>
      <c r="J17" s="229"/>
      <c r="K17" s="229"/>
      <c r="L17" s="229"/>
      <c r="N17" s="183">
        <f>'[3]Income statement'!H33</f>
        <v>0.33861671469740634</v>
      </c>
      <c r="P17" s="232">
        <f>NPV(G17,H14:L14)</f>
        <v>5151.5380501018726</v>
      </c>
    </row>
    <row r="18" spans="2:17" x14ac:dyDescent="0.2">
      <c r="B18" s="46"/>
      <c r="C18" s="46" t="s">
        <v>64</v>
      </c>
      <c r="G18" s="185"/>
      <c r="H18" s="230"/>
      <c r="I18" s="45"/>
      <c r="J18" s="45"/>
      <c r="K18" s="45"/>
      <c r="L18" s="45"/>
      <c r="M18" s="45"/>
      <c r="N18" s="45"/>
    </row>
    <row r="19" spans="2:17" ht="21" customHeight="1" x14ac:dyDescent="0.2">
      <c r="B19" s="46" t="s">
        <v>65</v>
      </c>
      <c r="C19" s="186"/>
      <c r="G19" s="185"/>
      <c r="H19" s="45"/>
      <c r="I19" s="45"/>
      <c r="J19" s="45"/>
      <c r="K19" s="45"/>
      <c r="L19" s="45"/>
      <c r="M19" s="45"/>
      <c r="N19" s="45"/>
    </row>
    <row r="20" spans="2:17" x14ac:dyDescent="0.2">
      <c r="B20" s="46"/>
      <c r="C20" s="46" t="s">
        <v>66</v>
      </c>
      <c r="G20" s="185"/>
      <c r="H20" s="45"/>
      <c r="I20" s="45"/>
      <c r="J20" s="45"/>
      <c r="K20" s="187" t="s">
        <v>155</v>
      </c>
      <c r="L20" s="188"/>
      <c r="M20" s="189"/>
      <c r="N20" s="190"/>
      <c r="O20" s="191"/>
      <c r="P20" s="192"/>
      <c r="Q20" s="48"/>
    </row>
    <row r="21" spans="2:17" ht="12.75" thickBot="1" x14ac:dyDescent="0.25">
      <c r="B21" s="46"/>
      <c r="D21" s="193" t="s">
        <v>67</v>
      </c>
      <c r="G21" s="45"/>
      <c r="I21" s="45"/>
      <c r="K21" s="194" t="s">
        <v>68</v>
      </c>
      <c r="M21" s="195">
        <v>2.8000000000000001E-2</v>
      </c>
      <c r="N21" s="193" t="str">
        <f>"Stock Price"</f>
        <v>Stock Price</v>
      </c>
      <c r="P21" s="196">
        <v>12.95</v>
      </c>
    </row>
    <row r="22" spans="2:17" ht="12.75" thickBot="1" x14ac:dyDescent="0.25">
      <c r="B22" s="46"/>
      <c r="D22" s="193" t="s">
        <v>69</v>
      </c>
      <c r="G22" s="197">
        <v>2</v>
      </c>
      <c r="H22" s="45"/>
      <c r="I22" s="45"/>
      <c r="K22" s="194" t="s">
        <v>156</v>
      </c>
      <c r="M22" s="195">
        <v>0.06</v>
      </c>
      <c r="N22" s="27" t="s">
        <v>157</v>
      </c>
      <c r="P22" s="198">
        <v>0</v>
      </c>
    </row>
    <row r="23" spans="2:17" x14ac:dyDescent="0.2">
      <c r="B23" s="46"/>
      <c r="D23" s="199" t="s">
        <v>65</v>
      </c>
      <c r="E23" s="155"/>
      <c r="F23" s="155"/>
      <c r="G23" s="200">
        <f>G21*G22</f>
        <v>0</v>
      </c>
      <c r="H23" s="45"/>
      <c r="I23" s="45"/>
      <c r="K23" s="201" t="s">
        <v>71</v>
      </c>
      <c r="L23" s="155"/>
      <c r="M23" s="202">
        <v>1.48</v>
      </c>
      <c r="N23" s="199" t="s">
        <v>72</v>
      </c>
      <c r="O23" s="155"/>
      <c r="P23" s="203">
        <v>336.66747500000002</v>
      </c>
    </row>
    <row r="24" spans="2:17" x14ac:dyDescent="0.2">
      <c r="B24" s="46"/>
      <c r="D24" s="204" t="s">
        <v>73</v>
      </c>
      <c r="G24" s="205">
        <f>G23/(1+G17)^L16</f>
        <v>0</v>
      </c>
      <c r="H24" s="184"/>
      <c r="I24" s="45"/>
      <c r="K24" s="206" t="s">
        <v>74</v>
      </c>
      <c r="M24" s="207">
        <f>M21+M22*M23</f>
        <v>0.11679999999999999</v>
      </c>
      <c r="N24" s="204" t="s">
        <v>85</v>
      </c>
      <c r="P24" s="208">
        <f>P21*(P22+P23)</f>
        <v>4359.8438012500001</v>
      </c>
    </row>
    <row r="25" spans="2:17" x14ac:dyDescent="0.2">
      <c r="C25" s="46" t="s">
        <v>76</v>
      </c>
      <c r="G25" s="185"/>
      <c r="H25" s="45"/>
      <c r="I25" s="45"/>
      <c r="K25" s="209"/>
      <c r="M25" s="207"/>
      <c r="N25" s="27" t="s">
        <v>158</v>
      </c>
      <c r="P25" s="210">
        <v>2226</v>
      </c>
    </row>
    <row r="26" spans="2:17" ht="12.75" thickBot="1" x14ac:dyDescent="0.25">
      <c r="D26" s="193" t="s">
        <v>54</v>
      </c>
      <c r="G26" s="211"/>
      <c r="I26" s="45"/>
      <c r="K26" s="206" t="s">
        <v>77</v>
      </c>
      <c r="M26" s="195">
        <v>7.0000000000000007E-2</v>
      </c>
      <c r="N26" s="27" t="s">
        <v>159</v>
      </c>
      <c r="P26" s="210">
        <v>-680</v>
      </c>
    </row>
    <row r="27" spans="2:17" ht="12.75" thickBot="1" x14ac:dyDescent="0.25">
      <c r="D27" s="193" t="s">
        <v>78</v>
      </c>
      <c r="G27" s="212">
        <v>-0.02</v>
      </c>
      <c r="H27" s="45"/>
      <c r="I27" s="45"/>
      <c r="K27" s="201" t="s">
        <v>160</v>
      </c>
      <c r="L27" s="155"/>
      <c r="M27" s="213">
        <v>0</v>
      </c>
      <c r="N27" s="155" t="s">
        <v>83</v>
      </c>
      <c r="O27" s="155"/>
      <c r="P27" s="214">
        <v>596</v>
      </c>
    </row>
    <row r="28" spans="2:17" ht="12.75" x14ac:dyDescent="0.2">
      <c r="D28" s="199" t="s">
        <v>65</v>
      </c>
      <c r="E28" s="155"/>
      <c r="F28" s="155"/>
      <c r="G28" s="180">
        <f>G26*(1+G27)/(G17-G27)</f>
        <v>0</v>
      </c>
      <c r="H28" s="154"/>
      <c r="I28" s="45"/>
      <c r="K28" s="215" t="s">
        <v>79</v>
      </c>
      <c r="L28" s="155"/>
      <c r="M28" s="213">
        <f>M24*Q30+M26*(1-N17)*Q31</f>
        <v>9.297009130183706E-2</v>
      </c>
      <c r="N28" s="216" t="s">
        <v>84</v>
      </c>
      <c r="O28" s="155"/>
      <c r="P28" s="217">
        <f>P24+P25+P26+P27</f>
        <v>6501.8438012500001</v>
      </c>
    </row>
    <row r="29" spans="2:17" x14ac:dyDescent="0.2">
      <c r="D29" s="204" t="s">
        <v>73</v>
      </c>
      <c r="G29" s="218">
        <f>G28/(1+G17)^L16</f>
        <v>0</v>
      </c>
      <c r="H29" s="184"/>
      <c r="I29" s="45"/>
    </row>
    <row r="30" spans="2:17" ht="21" customHeight="1" x14ac:dyDescent="0.2">
      <c r="B30" s="46" t="s">
        <v>161</v>
      </c>
      <c r="H30" s="45"/>
      <c r="I30" s="45"/>
      <c r="N30" s="27" t="s">
        <v>138</v>
      </c>
      <c r="P30" s="219">
        <f>P24</f>
        <v>4359.8438012500001</v>
      </c>
      <c r="Q30" s="220">
        <f>P30/$P$32</f>
        <v>0.66200230871289378</v>
      </c>
    </row>
    <row r="31" spans="2:17" x14ac:dyDescent="0.2">
      <c r="C31" s="46" t="s">
        <v>66</v>
      </c>
      <c r="G31" s="45"/>
      <c r="H31" s="184"/>
      <c r="I31" s="45"/>
      <c r="J31" s="45"/>
      <c r="K31" s="45"/>
      <c r="L31" s="45"/>
      <c r="M31" s="45"/>
      <c r="N31" s="180" t="s">
        <v>135</v>
      </c>
      <c r="O31" s="155"/>
      <c r="P31" s="221">
        <f>P25</f>
        <v>2226</v>
      </c>
      <c r="Q31" s="220">
        <f>P31/$P$32</f>
        <v>0.33799769128710627</v>
      </c>
    </row>
    <row r="32" spans="2:17" x14ac:dyDescent="0.2">
      <c r="C32" s="46" t="s">
        <v>76</v>
      </c>
      <c r="G32" s="45"/>
      <c r="H32" s="184"/>
      <c r="I32" s="45"/>
      <c r="J32" s="45"/>
      <c r="K32" s="45"/>
      <c r="L32" s="45"/>
      <c r="M32" s="45"/>
      <c r="N32" s="45" t="s">
        <v>162</v>
      </c>
      <c r="O32" s="47"/>
      <c r="P32" s="47">
        <f>SUM(P30:P31)</f>
        <v>6585.8438012500001</v>
      </c>
      <c r="Q32" s="47"/>
    </row>
    <row r="33" spans="3:17" x14ac:dyDescent="0.2">
      <c r="C33" s="46" t="s">
        <v>163</v>
      </c>
      <c r="G33" s="45"/>
      <c r="H33" s="184"/>
      <c r="I33" s="45"/>
      <c r="J33" s="45"/>
      <c r="K33" s="45"/>
      <c r="L33" s="45"/>
      <c r="M33" s="45"/>
      <c r="N33" s="45"/>
    </row>
    <row r="34" spans="3:17" x14ac:dyDescent="0.2">
      <c r="C34" s="46" t="s">
        <v>164</v>
      </c>
      <c r="G34" s="176">
        <f>P23</f>
        <v>336.66747500000002</v>
      </c>
      <c r="H34" s="222"/>
      <c r="I34" s="45"/>
      <c r="J34" s="45"/>
      <c r="K34" s="45"/>
      <c r="L34" s="45"/>
      <c r="M34" s="45"/>
      <c r="N34" s="45"/>
      <c r="O34" s="48"/>
      <c r="P34" s="48"/>
      <c r="Q34" s="48"/>
    </row>
    <row r="35" spans="3:17" x14ac:dyDescent="0.2">
      <c r="C35" s="46" t="s">
        <v>165</v>
      </c>
      <c r="G35" s="223">
        <f>(G31-G33)/G34</f>
        <v>0</v>
      </c>
      <c r="H35" s="224"/>
      <c r="I35" s="45"/>
      <c r="J35" s="45"/>
      <c r="K35" s="45"/>
      <c r="L35" s="45"/>
      <c r="M35" s="45"/>
      <c r="N35" s="45"/>
      <c r="O35" s="225"/>
      <c r="P35" s="225"/>
      <c r="Q35" s="225"/>
    </row>
    <row r="36" spans="3:17" x14ac:dyDescent="0.2">
      <c r="C36" s="46" t="s">
        <v>166</v>
      </c>
      <c r="G36" s="223">
        <f>(G32-G33)/G34</f>
        <v>0</v>
      </c>
      <c r="H36" s="224"/>
      <c r="I36" s="45"/>
      <c r="J36" s="45"/>
      <c r="K36" s="45"/>
      <c r="L36" s="45"/>
      <c r="M36" s="45"/>
      <c r="N36" s="45"/>
    </row>
    <row r="37" spans="3:17" ht="21" customHeight="1" x14ac:dyDescent="0.2"/>
    <row r="38" spans="3:17" ht="21" customHeight="1" x14ac:dyDescent="0.2"/>
    <row r="39" spans="3:17" ht="21" customHeight="1" x14ac:dyDescent="0.2"/>
    <row r="40" spans="3:17" ht="21" customHeight="1" x14ac:dyDescent="0.2"/>
    <row r="41" spans="3:17" ht="21" customHeight="1" x14ac:dyDescent="0.2"/>
    <row r="42" spans="3:17" ht="21" customHeight="1" x14ac:dyDescent="0.2"/>
  </sheetData>
  <pageMargins left="0.75" right="0.75" top="1" bottom="1" header="0.5" footer="0.5"/>
  <headerFooter alignWithMargins="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indexed="16"/>
  </sheetPr>
  <dimension ref="B1:Q42"/>
  <sheetViews>
    <sheetView showGridLines="0" zoomScale="115" zoomScaleNormal="115" workbookViewId="0">
      <selection activeCell="H35" sqref="H35"/>
    </sheetView>
  </sheetViews>
  <sheetFormatPr defaultColWidth="9.140625" defaultRowHeight="12" x14ac:dyDescent="0.2"/>
  <cols>
    <col min="1" max="1" width="3.7109375" style="27" customWidth="1"/>
    <col min="2" max="3" width="2.7109375" style="27" customWidth="1"/>
    <col min="4" max="4" width="43.28515625" style="27" customWidth="1"/>
    <col min="5" max="14" width="9.7109375" style="27" customWidth="1"/>
    <col min="15" max="15" width="9.140625" style="27"/>
    <col min="16" max="16" width="10.5703125" style="27" bestFit="1" customWidth="1"/>
    <col min="17" max="16384" width="9.140625" style="27"/>
  </cols>
  <sheetData>
    <row r="1" spans="2:16" ht="66" customHeight="1" x14ac:dyDescent="0.2">
      <c r="B1" s="25"/>
      <c r="C1" s="25"/>
      <c r="D1" s="26"/>
      <c r="E1" s="26"/>
      <c r="F1" s="25"/>
      <c r="G1" s="25"/>
      <c r="H1" s="25"/>
      <c r="I1" s="25"/>
      <c r="J1" s="25"/>
      <c r="K1" s="25"/>
      <c r="L1" s="25"/>
      <c r="M1" s="25"/>
    </row>
    <row r="2" spans="2:16" ht="12.75" customHeight="1" x14ac:dyDescent="0.2">
      <c r="B2" s="28" t="s">
        <v>53</v>
      </c>
      <c r="C2" s="29"/>
      <c r="D2" s="28"/>
      <c r="E2" s="30"/>
      <c r="F2" s="30"/>
      <c r="G2" s="28"/>
      <c r="H2" s="28"/>
      <c r="I2" s="28"/>
      <c r="J2" s="28"/>
      <c r="K2" s="28"/>
      <c r="L2" s="28"/>
      <c r="M2" s="46"/>
      <c r="N2" s="46"/>
    </row>
    <row r="3" spans="2:16" ht="12.75" customHeight="1" x14ac:dyDescent="0.2">
      <c r="B3" s="31" t="s">
        <v>152</v>
      </c>
      <c r="C3" s="32"/>
      <c r="D3" s="33"/>
      <c r="E3" s="158" t="s">
        <v>15</v>
      </c>
      <c r="F3" s="158"/>
      <c r="G3" s="35"/>
      <c r="H3" s="163"/>
      <c r="I3" s="164"/>
      <c r="J3" s="165" t="s">
        <v>16</v>
      </c>
      <c r="K3" s="164"/>
      <c r="L3" s="164"/>
      <c r="M3" s="166"/>
      <c r="N3" s="166"/>
    </row>
    <row r="4" spans="2:16" ht="12.75" customHeight="1" x14ac:dyDescent="0.2">
      <c r="B4" s="31"/>
      <c r="C4" s="32"/>
      <c r="D4" s="33"/>
      <c r="E4" s="39"/>
      <c r="F4" s="39"/>
      <c r="G4" s="167"/>
      <c r="H4" s="40"/>
      <c r="I4" s="40"/>
      <c r="J4" s="40"/>
      <c r="K4" s="40"/>
      <c r="L4" s="40"/>
      <c r="M4" s="168"/>
      <c r="N4" s="168"/>
    </row>
    <row r="5" spans="2:16" ht="12.75" customHeight="1" x14ac:dyDescent="0.2">
      <c r="B5" s="107" t="s">
        <v>153</v>
      </c>
      <c r="C5" s="157"/>
      <c r="D5" s="107"/>
      <c r="E5" s="169">
        <f>'[2]Income Statement'!D5</f>
        <v>2010</v>
      </c>
      <c r="F5" s="169">
        <f t="shared" ref="F5:L5" si="0">E5+1</f>
        <v>2011</v>
      </c>
      <c r="G5" s="170">
        <f t="shared" si="0"/>
        <v>2012</v>
      </c>
      <c r="H5" s="171">
        <f t="shared" si="0"/>
        <v>2013</v>
      </c>
      <c r="I5" s="171">
        <f t="shared" si="0"/>
        <v>2014</v>
      </c>
      <c r="J5" s="171">
        <f t="shared" si="0"/>
        <v>2015</v>
      </c>
      <c r="K5" s="171">
        <f t="shared" si="0"/>
        <v>2016</v>
      </c>
      <c r="L5" s="171">
        <f t="shared" si="0"/>
        <v>2017</v>
      </c>
      <c r="M5" s="172"/>
      <c r="N5" s="172"/>
    </row>
    <row r="6" spans="2:16" ht="21" customHeight="1" x14ac:dyDescent="0.2">
      <c r="B6" s="46" t="s">
        <v>54</v>
      </c>
      <c r="E6" s="45"/>
      <c r="F6" s="45"/>
      <c r="G6" s="173"/>
      <c r="H6" s="45"/>
      <c r="I6" s="45"/>
      <c r="J6" s="45"/>
      <c r="K6" s="45"/>
      <c r="L6" s="45"/>
      <c r="M6" s="45"/>
      <c r="N6" s="45"/>
    </row>
    <row r="7" spans="2:16" ht="12.75" customHeight="1" x14ac:dyDescent="0.2">
      <c r="B7" s="46"/>
      <c r="C7" s="27" t="s">
        <v>1</v>
      </c>
      <c r="E7" s="45"/>
      <c r="F7" s="45"/>
      <c r="G7" s="174">
        <v>2179</v>
      </c>
      <c r="H7" s="175">
        <v>1502.4349999999977</v>
      </c>
      <c r="I7" s="175">
        <v>1319.5572575999981</v>
      </c>
      <c r="J7" s="175">
        <v>1236.2921924479988</v>
      </c>
      <c r="K7" s="175">
        <v>1157.2814485990366</v>
      </c>
      <c r="L7" s="175">
        <v>1144.8517130850312</v>
      </c>
      <c r="M7" s="226" t="s">
        <v>167</v>
      </c>
      <c r="N7" s="176"/>
    </row>
    <row r="8" spans="2:16" ht="12.75" customHeight="1" x14ac:dyDescent="0.2">
      <c r="B8" s="46"/>
      <c r="C8" s="27" t="s">
        <v>55</v>
      </c>
      <c r="E8" s="45"/>
      <c r="F8" s="45"/>
      <c r="G8" s="174">
        <v>945</v>
      </c>
      <c r="H8" s="175">
        <v>951.6869999999999</v>
      </c>
      <c r="I8" s="175">
        <v>989.28071999999997</v>
      </c>
      <c r="J8" s="175">
        <v>1026.3690256</v>
      </c>
      <c r="K8" s="175">
        <v>1060.1265450880001</v>
      </c>
      <c r="L8" s="175">
        <v>1094.7303605388799</v>
      </c>
      <c r="M8" s="226" t="s">
        <v>167</v>
      </c>
      <c r="N8" s="176"/>
    </row>
    <row r="9" spans="2:16" ht="12.75" customHeight="1" x14ac:dyDescent="0.2">
      <c r="B9" s="46"/>
      <c r="C9" s="27" t="s">
        <v>56</v>
      </c>
      <c r="E9" s="45"/>
      <c r="F9" s="45"/>
      <c r="G9" s="177">
        <v>28</v>
      </c>
      <c r="H9" s="178">
        <v>-30</v>
      </c>
      <c r="I9" s="178">
        <v>-134</v>
      </c>
      <c r="J9" s="178">
        <v>28</v>
      </c>
      <c r="K9" s="178">
        <v>-30</v>
      </c>
      <c r="L9" s="178">
        <v>-134</v>
      </c>
      <c r="M9" s="227" t="s">
        <v>168</v>
      </c>
      <c r="N9" s="156"/>
    </row>
    <row r="10" spans="2:16" ht="12.75" customHeight="1" x14ac:dyDescent="0.2">
      <c r="B10" s="46"/>
      <c r="C10" s="27" t="s">
        <v>0</v>
      </c>
      <c r="E10" s="45"/>
      <c r="F10" s="45"/>
      <c r="G10" s="179">
        <v>0</v>
      </c>
      <c r="H10" s="156">
        <v>0</v>
      </c>
      <c r="I10" s="156">
        <v>0</v>
      </c>
      <c r="J10" s="156">
        <v>0</v>
      </c>
      <c r="K10" s="156">
        <v>0</v>
      </c>
      <c r="L10" s="156">
        <v>0</v>
      </c>
      <c r="M10" s="226"/>
      <c r="N10" s="45"/>
    </row>
    <row r="11" spans="2:16" ht="12.75" customHeight="1" x14ac:dyDescent="0.2">
      <c r="B11" s="46"/>
      <c r="C11" s="27" t="s">
        <v>57</v>
      </c>
      <c r="E11" s="45"/>
      <c r="F11" s="45"/>
      <c r="G11" s="177">
        <v>688</v>
      </c>
      <c r="H11" s="178">
        <v>-296.46692931234332</v>
      </c>
      <c r="I11" s="178">
        <v>35.936786066711704</v>
      </c>
      <c r="J11" s="178">
        <v>26.290602864913126</v>
      </c>
      <c r="K11" s="178">
        <v>25.764790807614418</v>
      </c>
      <c r="L11" s="178">
        <v>-12.624747495731015</v>
      </c>
      <c r="M11" s="227" t="s">
        <v>168</v>
      </c>
      <c r="N11" s="175"/>
    </row>
    <row r="12" spans="2:16" ht="12.75" customHeight="1" x14ac:dyDescent="0.2">
      <c r="B12" s="46"/>
      <c r="C12" s="27" t="s">
        <v>58</v>
      </c>
      <c r="E12" s="45"/>
      <c r="F12" s="45"/>
      <c r="G12" s="177">
        <v>-766</v>
      </c>
      <c r="H12" s="178">
        <v>-749.46</v>
      </c>
      <c r="I12" s="178">
        <v>-770.46</v>
      </c>
      <c r="J12" s="178">
        <v>-759.98</v>
      </c>
      <c r="K12" s="178">
        <v>-693</v>
      </c>
      <c r="L12" s="178">
        <v>-683.33</v>
      </c>
      <c r="M12" s="227" t="s">
        <v>168</v>
      </c>
    </row>
    <row r="13" spans="2:16" ht="12.75" customHeight="1" x14ac:dyDescent="0.2">
      <c r="B13" s="46"/>
      <c r="C13" s="27" t="s">
        <v>59</v>
      </c>
      <c r="E13" s="180"/>
      <c r="F13" s="180"/>
      <c r="G13" s="181"/>
      <c r="H13" s="182">
        <f>-H7*$N$17</f>
        <v>-508.74960374639693</v>
      </c>
      <c r="I13" s="182">
        <f>-I7*$N$17</f>
        <v>-446.82414342363052</v>
      </c>
      <c r="J13" s="182">
        <f>-J7*$N$17</f>
        <v>-418.62920061279499</v>
      </c>
      <c r="K13" s="182">
        <f>-K7*$N$17</f>
        <v>-391.8748421048611</v>
      </c>
      <c r="L13" s="182">
        <f>-L7*$N$17</f>
        <v>-387.66592590055092</v>
      </c>
      <c r="M13" s="226" t="s">
        <v>169</v>
      </c>
    </row>
    <row r="14" spans="2:16" s="46" customFormat="1" ht="12.75" customHeight="1" x14ac:dyDescent="0.2">
      <c r="B14" s="46" t="s">
        <v>60</v>
      </c>
      <c r="E14" s="184"/>
      <c r="F14" s="184"/>
      <c r="G14" s="184"/>
      <c r="H14" s="184">
        <f>SUM(H7:H13)</f>
        <v>869.44546694125722</v>
      </c>
      <c r="I14" s="184">
        <f>SUM(I7:I13)</f>
        <v>993.49062024307943</v>
      </c>
      <c r="J14" s="184">
        <f>SUM(J7:J13)</f>
        <v>1138.3426203001168</v>
      </c>
      <c r="K14" s="184">
        <f>SUM(K7:K13)</f>
        <v>1128.2979423897898</v>
      </c>
      <c r="L14" s="184">
        <f>SUM(L7:L13)</f>
        <v>1021.9614002276294</v>
      </c>
      <c r="M14" s="184"/>
      <c r="N14" s="184"/>
    </row>
    <row r="15" spans="2:16" ht="21" customHeight="1" x14ac:dyDescent="0.2">
      <c r="B15" s="46" t="s">
        <v>61</v>
      </c>
      <c r="H15" s="45"/>
      <c r="I15" s="45"/>
      <c r="J15" s="45"/>
      <c r="K15" s="45"/>
      <c r="L15" s="45"/>
      <c r="M15" s="45"/>
    </row>
    <row r="16" spans="2:16" ht="12.75" thickBot="1" x14ac:dyDescent="0.25">
      <c r="B16" s="46"/>
      <c r="C16" s="27" t="s">
        <v>62</v>
      </c>
      <c r="G16" s="185"/>
      <c r="H16" s="45">
        <v>1</v>
      </c>
      <c r="I16" s="45">
        <f>H16+1</f>
        <v>2</v>
      </c>
      <c r="J16" s="45">
        <f>I16+1</f>
        <v>3</v>
      </c>
      <c r="K16" s="45">
        <f>J16+1</f>
        <v>4</v>
      </c>
      <c r="L16" s="45">
        <f>K16+1</f>
        <v>5</v>
      </c>
      <c r="N16" s="161" t="s">
        <v>154</v>
      </c>
      <c r="P16" s="231" t="s">
        <v>170</v>
      </c>
    </row>
    <row r="17" spans="2:17" ht="12.75" thickBot="1" x14ac:dyDescent="0.25">
      <c r="B17" s="46"/>
      <c r="C17" s="27" t="s">
        <v>63</v>
      </c>
      <c r="G17" s="233">
        <f>M28</f>
        <v>9.297009130183706E-2</v>
      </c>
      <c r="H17" s="234">
        <f>H14/(1+$G$17)^H16</f>
        <v>795.48880052670108</v>
      </c>
      <c r="I17" s="234">
        <f>I14/(1+$G$17)^I16</f>
        <v>831.66268414394767</v>
      </c>
      <c r="J17" s="234">
        <f>J14/(1+$G$17)^J16</f>
        <v>871.86283028024729</v>
      </c>
      <c r="K17" s="234">
        <f>K14/(1+$G$17)^K16</f>
        <v>790.66166904664169</v>
      </c>
      <c r="L17" s="234">
        <f>L14/(1+$G$17)^L16</f>
        <v>655.22898921198578</v>
      </c>
      <c r="N17" s="183">
        <f>'[3]Income statement'!H33</f>
        <v>0.33861671469740634</v>
      </c>
      <c r="P17" s="232">
        <f>NPV(G17,H14:L14)</f>
        <v>3944.9049732095232</v>
      </c>
    </row>
    <row r="18" spans="2:17" x14ac:dyDescent="0.2">
      <c r="B18" s="46"/>
      <c r="C18" s="46" t="s">
        <v>64</v>
      </c>
      <c r="G18" s="185"/>
      <c r="H18" s="230">
        <f>SUM(H17:L17)</f>
        <v>3944.9049732095232</v>
      </c>
      <c r="I18" s="45"/>
      <c r="J18" s="45"/>
      <c r="K18" s="45"/>
      <c r="L18" s="45"/>
      <c r="M18" s="45"/>
      <c r="N18" s="45"/>
    </row>
    <row r="19" spans="2:17" ht="21" customHeight="1" x14ac:dyDescent="0.2">
      <c r="B19" s="46" t="s">
        <v>65</v>
      </c>
      <c r="C19" s="186"/>
      <c r="G19" s="185"/>
      <c r="H19" s="45"/>
      <c r="I19" s="45"/>
      <c r="J19" s="45"/>
      <c r="K19" s="45"/>
      <c r="L19" s="45"/>
      <c r="M19" s="45"/>
      <c r="N19" s="45"/>
    </row>
    <row r="20" spans="2:17" x14ac:dyDescent="0.2">
      <c r="B20" s="46"/>
      <c r="C20" s="46" t="s">
        <v>66</v>
      </c>
      <c r="G20" s="185"/>
      <c r="H20" s="45"/>
      <c r="I20" s="45"/>
      <c r="J20" s="45"/>
      <c r="K20" s="187" t="s">
        <v>155</v>
      </c>
      <c r="L20" s="188"/>
      <c r="M20" s="189"/>
      <c r="N20" s="190"/>
      <c r="O20" s="191"/>
      <c r="P20" s="192"/>
      <c r="Q20" s="48"/>
    </row>
    <row r="21" spans="2:17" ht="12.75" thickBot="1" x14ac:dyDescent="0.25">
      <c r="B21" s="46"/>
      <c r="D21" s="193" t="s">
        <v>67</v>
      </c>
      <c r="G21" s="45">
        <f>L7+L8</f>
        <v>2239.5820736239111</v>
      </c>
      <c r="I21" s="45"/>
      <c r="K21" s="194" t="s">
        <v>68</v>
      </c>
      <c r="M21" s="195">
        <v>2.8000000000000001E-2</v>
      </c>
      <c r="N21" s="193" t="str">
        <f>"Stock Price"</f>
        <v>Stock Price</v>
      </c>
      <c r="P21" s="196">
        <v>12.95</v>
      </c>
    </row>
    <row r="22" spans="2:17" ht="12.75" thickBot="1" x14ac:dyDescent="0.25">
      <c r="B22" s="46"/>
      <c r="D22" s="193" t="s">
        <v>69</v>
      </c>
      <c r="G22" s="197">
        <v>7.7</v>
      </c>
      <c r="H22" s="45"/>
      <c r="I22" s="45"/>
      <c r="K22" s="194" t="s">
        <v>156</v>
      </c>
      <c r="M22" s="195">
        <v>0.06</v>
      </c>
      <c r="N22" s="27" t="s">
        <v>157</v>
      </c>
      <c r="P22" s="198">
        <v>0</v>
      </c>
    </row>
    <row r="23" spans="2:17" x14ac:dyDescent="0.2">
      <c r="B23" s="46"/>
      <c r="D23" s="199" t="s">
        <v>65</v>
      </c>
      <c r="E23" s="155"/>
      <c r="F23" s="155"/>
      <c r="G23" s="200">
        <f>G21*G22</f>
        <v>17244.781966904116</v>
      </c>
      <c r="H23" s="45"/>
      <c r="I23" s="45"/>
      <c r="K23" s="201" t="s">
        <v>71</v>
      </c>
      <c r="L23" s="155"/>
      <c r="M23" s="202">
        <v>1.48</v>
      </c>
      <c r="N23" s="199" t="s">
        <v>72</v>
      </c>
      <c r="O23" s="155"/>
      <c r="P23" s="203">
        <v>336.66747500000002</v>
      </c>
    </row>
    <row r="24" spans="2:17" x14ac:dyDescent="0.2">
      <c r="B24" s="46"/>
      <c r="D24" s="204" t="s">
        <v>73</v>
      </c>
      <c r="G24" s="205">
        <f>G23/(1+G17)^L16</f>
        <v>11056.465591399916</v>
      </c>
      <c r="H24" s="184"/>
      <c r="I24" s="45"/>
      <c r="K24" s="206" t="s">
        <v>74</v>
      </c>
      <c r="M24" s="207">
        <f>M21+M22*M23</f>
        <v>0.11679999999999999</v>
      </c>
      <c r="N24" s="204" t="s">
        <v>85</v>
      </c>
      <c r="P24" s="208">
        <f>P21*(P22+P23)</f>
        <v>4359.8438012500001</v>
      </c>
    </row>
    <row r="25" spans="2:17" x14ac:dyDescent="0.2">
      <c r="C25" s="46" t="s">
        <v>76</v>
      </c>
      <c r="G25" s="185"/>
      <c r="H25" s="45"/>
      <c r="I25" s="45"/>
      <c r="K25" s="209"/>
      <c r="M25" s="207"/>
      <c r="N25" s="27" t="s">
        <v>158</v>
      </c>
      <c r="P25" s="210">
        <v>2226</v>
      </c>
    </row>
    <row r="26" spans="2:17" ht="12.75" thickBot="1" x14ac:dyDescent="0.25">
      <c r="D26" s="193" t="s">
        <v>54</v>
      </c>
      <c r="G26" s="211">
        <f>L14</f>
        <v>1021.9614002276294</v>
      </c>
      <c r="I26" s="45"/>
      <c r="K26" s="206" t="s">
        <v>77</v>
      </c>
      <c r="M26" s="195">
        <v>7.0000000000000007E-2</v>
      </c>
      <c r="N26" s="27" t="s">
        <v>159</v>
      </c>
      <c r="P26" s="210">
        <v>-680</v>
      </c>
    </row>
    <row r="27" spans="2:17" ht="12.75" thickBot="1" x14ac:dyDescent="0.25">
      <c r="D27" s="193" t="s">
        <v>78</v>
      </c>
      <c r="G27" s="212">
        <v>0.02</v>
      </c>
      <c r="H27" s="45"/>
      <c r="I27" s="45"/>
      <c r="K27" s="201" t="s">
        <v>160</v>
      </c>
      <c r="L27" s="155"/>
      <c r="M27" s="213">
        <v>0</v>
      </c>
      <c r="N27" s="155" t="s">
        <v>83</v>
      </c>
      <c r="O27" s="155"/>
      <c r="P27" s="214">
        <v>596</v>
      </c>
    </row>
    <row r="28" spans="2:17" ht="12.75" x14ac:dyDescent="0.2">
      <c r="D28" s="199" t="s">
        <v>65</v>
      </c>
      <c r="E28" s="155"/>
      <c r="F28" s="155"/>
      <c r="G28" s="180">
        <f>G26*(1+G27)/(G17-G27)</f>
        <v>14285.313470697811</v>
      </c>
      <c r="H28" s="154"/>
      <c r="I28" s="45"/>
      <c r="K28" s="215" t="s">
        <v>79</v>
      </c>
      <c r="L28" s="155"/>
      <c r="M28" s="213">
        <f>M24*Q30+M26*(1-N17)*Q31</f>
        <v>9.297009130183706E-2</v>
      </c>
      <c r="N28" s="216" t="s">
        <v>84</v>
      </c>
      <c r="O28" s="155"/>
      <c r="P28" s="217">
        <f>P24+P25+P26+P27</f>
        <v>6501.8438012500001</v>
      </c>
    </row>
    <row r="29" spans="2:17" x14ac:dyDescent="0.2">
      <c r="D29" s="204" t="s">
        <v>73</v>
      </c>
      <c r="G29" s="218">
        <f>G28/(1+G17)^L16</f>
        <v>9159.0068899831549</v>
      </c>
      <c r="H29" s="184"/>
      <c r="I29" s="45"/>
    </row>
    <row r="30" spans="2:17" ht="21" customHeight="1" x14ac:dyDescent="0.2">
      <c r="B30" s="46" t="s">
        <v>161</v>
      </c>
      <c r="H30" s="45"/>
      <c r="I30" s="45"/>
      <c r="N30" s="27" t="s">
        <v>138</v>
      </c>
      <c r="P30" s="219">
        <f>P24</f>
        <v>4359.8438012500001</v>
      </c>
      <c r="Q30" s="220">
        <f>P30/$P$32</f>
        <v>0.66200230871289378</v>
      </c>
    </row>
    <row r="31" spans="2:17" x14ac:dyDescent="0.2">
      <c r="C31" s="46" t="s">
        <v>66</v>
      </c>
      <c r="G31" s="45">
        <f>G24+H18</f>
        <v>15001.370564609439</v>
      </c>
      <c r="H31" s="184"/>
      <c r="I31" s="45"/>
      <c r="J31" s="45"/>
      <c r="K31" s="45"/>
      <c r="L31" s="45"/>
      <c r="M31" s="45"/>
      <c r="N31" s="180" t="s">
        <v>135</v>
      </c>
      <c r="O31" s="155"/>
      <c r="P31" s="221">
        <f>P25</f>
        <v>2226</v>
      </c>
      <c r="Q31" s="220">
        <f>P31/$P$32</f>
        <v>0.33799769128710627</v>
      </c>
    </row>
    <row r="32" spans="2:17" x14ac:dyDescent="0.2">
      <c r="C32" s="46" t="s">
        <v>76</v>
      </c>
      <c r="G32" s="45">
        <f>G29+H18</f>
        <v>13103.911863192678</v>
      </c>
      <c r="H32" s="184"/>
      <c r="I32" s="45"/>
      <c r="J32" s="45"/>
      <c r="K32" s="45"/>
      <c r="L32" s="45"/>
      <c r="M32" s="45"/>
      <c r="N32" s="45" t="s">
        <v>162</v>
      </c>
      <c r="O32" s="47"/>
      <c r="P32" s="47">
        <f>SUM(P30:P31)</f>
        <v>6585.8438012500001</v>
      </c>
      <c r="Q32" s="47"/>
    </row>
    <row r="33" spans="3:17" x14ac:dyDescent="0.2">
      <c r="C33" s="46" t="s">
        <v>163</v>
      </c>
      <c r="G33" s="45">
        <f>P25+P26</f>
        <v>1546</v>
      </c>
      <c r="H33" s="184"/>
      <c r="I33" s="45"/>
      <c r="J33" s="45"/>
      <c r="K33" s="45"/>
      <c r="L33" s="45"/>
      <c r="M33" s="45"/>
      <c r="N33" s="45"/>
    </row>
    <row r="34" spans="3:17" x14ac:dyDescent="0.2">
      <c r="C34" s="46" t="s">
        <v>164</v>
      </c>
      <c r="G34" s="176">
        <f>P23</f>
        <v>336.66747500000002</v>
      </c>
      <c r="H34" s="222"/>
      <c r="I34" s="45"/>
      <c r="J34" s="45"/>
      <c r="K34" s="45"/>
      <c r="L34" s="45"/>
      <c r="M34" s="45"/>
      <c r="N34" s="45"/>
      <c r="O34" s="48"/>
      <c r="P34" s="48"/>
      <c r="Q34" s="48"/>
    </row>
    <row r="35" spans="3:17" x14ac:dyDescent="0.2">
      <c r="C35" s="46" t="s">
        <v>165</v>
      </c>
      <c r="G35" s="223">
        <f>(G31-G33)/G34</f>
        <v>39.966351262798518</v>
      </c>
      <c r="H35" s="224"/>
      <c r="I35" s="45"/>
      <c r="J35" s="45"/>
      <c r="K35" s="45"/>
      <c r="L35" s="45"/>
      <c r="M35" s="45"/>
      <c r="N35" s="45"/>
      <c r="O35" s="225"/>
      <c r="P35" s="225"/>
      <c r="Q35" s="225"/>
    </row>
    <row r="36" spans="3:17" x14ac:dyDescent="0.2">
      <c r="C36" s="46" t="s">
        <v>166</v>
      </c>
      <c r="G36" s="223">
        <f>(G32-G33)/G34</f>
        <v>34.330348849982244</v>
      </c>
      <c r="H36" s="224"/>
      <c r="I36" s="45"/>
      <c r="J36" s="45"/>
      <c r="K36" s="45"/>
      <c r="L36" s="45"/>
      <c r="M36" s="45"/>
      <c r="N36" s="45"/>
    </row>
    <row r="37" spans="3:17" ht="21" customHeight="1" x14ac:dyDescent="0.2"/>
    <row r="38" spans="3:17" ht="21" customHeight="1" x14ac:dyDescent="0.2"/>
    <row r="39" spans="3:17" ht="21" customHeight="1" x14ac:dyDescent="0.2">
      <c r="D39" s="243" t="s">
        <v>203</v>
      </c>
      <c r="H39" s="27" t="s">
        <v>204</v>
      </c>
    </row>
    <row r="40" spans="3:17" ht="21" customHeight="1" x14ac:dyDescent="0.2"/>
    <row r="41" spans="3:17" ht="21" customHeight="1" x14ac:dyDescent="0.2"/>
    <row r="42" spans="3:17" ht="21" customHeight="1" x14ac:dyDescent="0.2"/>
  </sheetData>
  <hyperlinks>
    <hyperlink ref="D39" r:id="rId1"/>
  </hyperlinks>
  <pageMargins left="0.75" right="0.75" top="1" bottom="1" header="0.5" footer="0.5"/>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66CCFF"/>
  </sheetPr>
  <dimension ref="A1:X38"/>
  <sheetViews>
    <sheetView zoomScaleNormal="100" workbookViewId="0">
      <selection activeCell="I27" sqref="I27"/>
    </sheetView>
  </sheetViews>
  <sheetFormatPr defaultColWidth="9.140625" defaultRowHeight="12" x14ac:dyDescent="0.2"/>
  <cols>
    <col min="1" max="2" width="2.7109375" style="27" customWidth="1"/>
    <col min="3" max="3" width="27" style="27" customWidth="1"/>
    <col min="4" max="4" width="15" style="27" customWidth="1"/>
    <col min="5" max="5" width="13.85546875" style="27" bestFit="1" customWidth="1"/>
    <col min="6" max="6" width="15.85546875" style="27" bestFit="1" customWidth="1"/>
    <col min="7" max="13" width="9.7109375" style="27" customWidth="1"/>
    <col min="14" max="14" width="9.140625" style="27"/>
    <col min="15" max="15" width="12.85546875" style="27" bestFit="1" customWidth="1"/>
    <col min="16" max="17" width="9.140625" style="27"/>
    <col min="18" max="18" width="27.5703125" style="27" bestFit="1" customWidth="1"/>
    <col min="19" max="19" width="15.5703125" style="27" customWidth="1"/>
    <col min="20" max="20" width="12.85546875" style="27" customWidth="1"/>
    <col min="21" max="21" width="9.140625" style="27"/>
    <col min="22" max="22" width="4.7109375" style="27" customWidth="1"/>
    <col min="23" max="23" width="14.42578125" style="27" customWidth="1"/>
    <col min="24" max="24" width="13.28515625" style="27" bestFit="1" customWidth="1"/>
    <col min="25" max="16384" width="9.140625" style="27"/>
  </cols>
  <sheetData>
    <row r="1" spans="1:24" ht="12.75" customHeight="1" x14ac:dyDescent="0.2">
      <c r="A1" s="28" t="s">
        <v>53</v>
      </c>
      <c r="B1" s="29"/>
      <c r="C1" s="28"/>
      <c r="D1" s="30"/>
      <c r="E1" s="30"/>
      <c r="F1" s="28"/>
      <c r="G1" s="28"/>
      <c r="H1" s="28"/>
      <c r="I1" s="28"/>
      <c r="J1" s="28"/>
      <c r="K1" s="28"/>
      <c r="L1"/>
      <c r="M1"/>
    </row>
    <row r="2" spans="1:24" ht="12.75" customHeight="1" x14ac:dyDescent="0.2">
      <c r="A2" s="3" t="str">
        <f>'Cash Flow Statement'!A3</f>
        <v>(in US$ millions)</v>
      </c>
      <c r="B2" s="32"/>
      <c r="C2" s="33"/>
      <c r="D2" s="34" t="s">
        <v>15</v>
      </c>
      <c r="E2" s="34"/>
      <c r="F2" s="35"/>
      <c r="G2" s="36" t="s">
        <v>16</v>
      </c>
      <c r="H2" s="37"/>
      <c r="I2" s="38"/>
      <c r="J2" s="37"/>
      <c r="K2" s="37"/>
      <c r="L2"/>
      <c r="M2"/>
    </row>
    <row r="3" spans="1:24" ht="12.75" customHeight="1" x14ac:dyDescent="0.2">
      <c r="A3" s="31"/>
      <c r="B3" s="32"/>
      <c r="C3" s="33"/>
      <c r="D3" s="39"/>
      <c r="E3" s="39"/>
      <c r="F3" s="40"/>
      <c r="G3" s="40"/>
      <c r="H3" s="40"/>
      <c r="I3" s="40"/>
      <c r="J3" s="40"/>
      <c r="K3" s="40"/>
      <c r="L3"/>
      <c r="M3"/>
    </row>
    <row r="4" spans="1:24" ht="12.75" customHeight="1" x14ac:dyDescent="0.2">
      <c r="A4" s="41" t="s">
        <v>125</v>
      </c>
      <c r="B4" s="42"/>
      <c r="C4" s="41"/>
      <c r="D4" s="43">
        <v>2010</v>
      </c>
      <c r="E4" s="43">
        <f t="shared" ref="E4:K4" si="0">D4+1</f>
        <v>2011</v>
      </c>
      <c r="F4" s="43">
        <f t="shared" si="0"/>
        <v>2012</v>
      </c>
      <c r="G4" s="44">
        <f t="shared" si="0"/>
        <v>2013</v>
      </c>
      <c r="H4" s="44">
        <f t="shared" si="0"/>
        <v>2014</v>
      </c>
      <c r="I4" s="44">
        <f t="shared" si="0"/>
        <v>2015</v>
      </c>
      <c r="J4" s="44">
        <f t="shared" si="0"/>
        <v>2016</v>
      </c>
      <c r="K4" s="44">
        <f t="shared" si="0"/>
        <v>2017</v>
      </c>
      <c r="L4"/>
      <c r="M4"/>
    </row>
    <row r="5" spans="1:24" ht="21" customHeight="1" x14ac:dyDescent="0.2">
      <c r="A5" s="108" t="s">
        <v>54</v>
      </c>
      <c r="B5" s="109"/>
      <c r="C5" s="109"/>
      <c r="D5" s="110"/>
      <c r="E5" s="110"/>
      <c r="F5" s="110"/>
      <c r="G5" s="110"/>
      <c r="H5" s="110"/>
      <c r="I5" s="110"/>
      <c r="J5" s="110"/>
      <c r="K5" s="110"/>
      <c r="L5"/>
      <c r="M5"/>
    </row>
    <row r="6" spans="1:24" ht="12.75" customHeight="1" x14ac:dyDescent="0.2">
      <c r="A6" s="108"/>
      <c r="B6" s="246" t="s">
        <v>1</v>
      </c>
      <c r="C6" s="246"/>
      <c r="D6" s="246"/>
      <c r="E6" s="110"/>
      <c r="F6" s="110"/>
      <c r="G6" s="235"/>
      <c r="H6" s="235"/>
      <c r="I6" s="235"/>
      <c r="J6" s="235"/>
      <c r="K6" s="235"/>
      <c r="L6"/>
      <c r="M6"/>
      <c r="R6" s="46" t="s">
        <v>132</v>
      </c>
    </row>
    <row r="7" spans="1:24" ht="12.75" customHeight="1" x14ac:dyDescent="0.2">
      <c r="A7" s="108"/>
      <c r="B7" s="246" t="s">
        <v>55</v>
      </c>
      <c r="C7" s="246"/>
      <c r="D7" s="246"/>
      <c r="E7" s="110"/>
      <c r="F7" s="110"/>
      <c r="G7" s="235"/>
      <c r="H7" s="235"/>
      <c r="I7" s="235"/>
      <c r="J7" s="235"/>
      <c r="K7" s="235"/>
      <c r="L7"/>
      <c r="M7"/>
      <c r="R7" s="46" t="s">
        <v>133</v>
      </c>
    </row>
    <row r="8" spans="1:24" ht="12.75" customHeight="1" x14ac:dyDescent="0.2">
      <c r="A8" s="108"/>
      <c r="B8" s="247" t="s">
        <v>209</v>
      </c>
      <c r="C8" s="247"/>
      <c r="D8" s="247"/>
      <c r="E8" s="110"/>
      <c r="F8" s="110"/>
      <c r="G8" s="235"/>
      <c r="H8" s="235"/>
      <c r="I8" s="235"/>
      <c r="J8" s="235"/>
      <c r="K8" s="235"/>
      <c r="L8"/>
      <c r="M8"/>
      <c r="R8" s="286" t="s">
        <v>134</v>
      </c>
      <c r="S8" s="161" t="s">
        <v>135</v>
      </c>
      <c r="T8" s="287" t="s">
        <v>136</v>
      </c>
      <c r="U8" s="287" t="s">
        <v>140</v>
      </c>
      <c r="V8" s="288" t="s">
        <v>137</v>
      </c>
      <c r="W8" s="161" t="s">
        <v>138</v>
      </c>
      <c r="X8" s="287" t="s">
        <v>139</v>
      </c>
    </row>
    <row r="9" spans="1:24" ht="12.75" customHeight="1" x14ac:dyDescent="0.2">
      <c r="A9" s="108"/>
      <c r="B9" s="247" t="s">
        <v>49</v>
      </c>
      <c r="C9" s="247"/>
      <c r="D9" s="247"/>
      <c r="E9" s="110"/>
      <c r="F9" s="110"/>
      <c r="G9" s="235"/>
      <c r="H9" s="235"/>
      <c r="I9" s="235"/>
      <c r="J9" s="235"/>
      <c r="K9" s="235"/>
      <c r="L9"/>
      <c r="M9" s="248" t="s">
        <v>207</v>
      </c>
      <c r="N9" s="249"/>
      <c r="R9" s="286"/>
      <c r="S9" s="161" t="s">
        <v>141</v>
      </c>
      <c r="T9" s="287"/>
      <c r="U9" s="287"/>
      <c r="V9" s="288"/>
      <c r="W9" s="161" t="s">
        <v>141</v>
      </c>
      <c r="X9" s="287"/>
    </row>
    <row r="10" spans="1:24" ht="12.75" customHeight="1" x14ac:dyDescent="0.2">
      <c r="A10" s="108"/>
      <c r="B10" s="247" t="s">
        <v>213</v>
      </c>
      <c r="C10" s="247"/>
      <c r="D10" s="247"/>
      <c r="E10" s="110"/>
      <c r="F10" s="110"/>
      <c r="G10" s="235"/>
      <c r="H10" s="235"/>
      <c r="I10" s="235"/>
      <c r="J10" s="235"/>
      <c r="K10" s="235"/>
      <c r="L10"/>
      <c r="M10" s="250" t="s">
        <v>208</v>
      </c>
      <c r="N10" s="251"/>
    </row>
    <row r="11" spans="1:24" ht="12.75" customHeight="1" x14ac:dyDescent="0.2">
      <c r="A11" s="108"/>
      <c r="B11" s="247" t="s">
        <v>105</v>
      </c>
      <c r="C11" s="247"/>
      <c r="D11" s="247"/>
      <c r="E11" s="110"/>
      <c r="F11" s="110"/>
      <c r="G11" s="235"/>
      <c r="H11" s="235"/>
      <c r="I11" s="235"/>
      <c r="J11" s="235"/>
      <c r="K11" s="235"/>
      <c r="L11" s="252" t="s">
        <v>210</v>
      </c>
      <c r="M11"/>
    </row>
    <row r="12" spans="1:24" ht="12.75" customHeight="1" x14ac:dyDescent="0.2">
      <c r="A12" s="108"/>
      <c r="B12" s="257" t="s">
        <v>30</v>
      </c>
      <c r="C12" s="257"/>
      <c r="D12" s="257"/>
      <c r="E12" s="111"/>
      <c r="F12" s="111"/>
      <c r="G12" s="240"/>
      <c r="H12" s="240"/>
      <c r="I12" s="240"/>
      <c r="J12" s="240"/>
      <c r="K12" s="240"/>
      <c r="L12" s="252" t="s">
        <v>211</v>
      </c>
      <c r="M12"/>
      <c r="R12" s="162" t="s">
        <v>142</v>
      </c>
      <c r="S12" s="27" t="s">
        <v>143</v>
      </c>
    </row>
    <row r="13" spans="1:24" s="46" customFormat="1" ht="12.75" customHeight="1" x14ac:dyDescent="0.2">
      <c r="A13" s="108" t="s">
        <v>60</v>
      </c>
      <c r="B13" s="108"/>
      <c r="C13" s="108"/>
      <c r="D13" s="112"/>
      <c r="E13" s="112"/>
      <c r="F13" s="112"/>
      <c r="G13" s="235">
        <f>SUM(G6:G12)</f>
        <v>0</v>
      </c>
      <c r="H13" s="235">
        <f>SUM(H6:H12)</f>
        <v>0</v>
      </c>
      <c r="I13" s="235">
        <f>SUM(I6:I12)</f>
        <v>0</v>
      </c>
      <c r="J13" s="235">
        <f>SUM(J6:J12)</f>
        <v>0</v>
      </c>
      <c r="K13" s="235">
        <f>SUM(K6:K12)</f>
        <v>0</v>
      </c>
      <c r="L13"/>
      <c r="M13"/>
    </row>
    <row r="14" spans="1:24" ht="21" customHeight="1" x14ac:dyDescent="0.2">
      <c r="A14" s="108" t="s">
        <v>61</v>
      </c>
      <c r="B14" s="108"/>
      <c r="C14" s="109"/>
      <c r="D14" s="109"/>
      <c r="E14" s="109"/>
      <c r="F14" s="109"/>
      <c r="G14" s="110"/>
      <c r="H14" s="110"/>
      <c r="I14" s="110"/>
      <c r="J14" s="110"/>
      <c r="K14" s="110"/>
      <c r="L14"/>
      <c r="M14"/>
      <c r="R14" s="162" t="s">
        <v>144</v>
      </c>
      <c r="S14" s="27" t="s">
        <v>145</v>
      </c>
    </row>
    <row r="15" spans="1:24" ht="12.75" x14ac:dyDescent="0.2">
      <c r="A15" s="108"/>
      <c r="B15" s="109" t="s">
        <v>62</v>
      </c>
      <c r="C15" s="109"/>
      <c r="D15" s="109"/>
      <c r="E15" s="109"/>
      <c r="G15" s="110">
        <v>1</v>
      </c>
      <c r="H15" s="110">
        <v>2</v>
      </c>
      <c r="I15" s="110">
        <v>3</v>
      </c>
      <c r="J15" s="110">
        <v>4</v>
      </c>
      <c r="K15" s="110">
        <v>5</v>
      </c>
      <c r="L15"/>
      <c r="M15"/>
    </row>
    <row r="16" spans="1:24" ht="12.75" x14ac:dyDescent="0.2">
      <c r="A16" s="108"/>
      <c r="B16" s="109" t="s">
        <v>63</v>
      </c>
      <c r="C16" s="109"/>
      <c r="D16" s="109"/>
      <c r="E16" s="109"/>
      <c r="F16" s="256"/>
      <c r="G16" s="235">
        <f>G13/(1+$F$18)^G15</f>
        <v>0</v>
      </c>
      <c r="H16" s="235">
        <f>H13/(1+$F$18)^H15</f>
        <v>0</v>
      </c>
      <c r="I16" s="235">
        <f>I13/(1+$F$18)^I15</f>
        <v>0</v>
      </c>
      <c r="J16" s="235">
        <f>J13/(1+$F$18)^J15</f>
        <v>0</v>
      </c>
      <c r="K16" s="235">
        <f>K13/(1+$F$18)^K15</f>
        <v>0</v>
      </c>
      <c r="L16"/>
      <c r="M16"/>
      <c r="R16" s="162" t="s">
        <v>146</v>
      </c>
    </row>
    <row r="17" spans="1:19" ht="13.5" thickBot="1" x14ac:dyDescent="0.25">
      <c r="A17" s="108"/>
      <c r="B17" s="108" t="s">
        <v>64</v>
      </c>
      <c r="C17" s="109"/>
      <c r="D17" s="109"/>
      <c r="E17" s="109"/>
      <c r="F17" s="130"/>
      <c r="G17" s="230">
        <f>SUM(G16:K16)</f>
        <v>0</v>
      </c>
      <c r="H17" s="110"/>
      <c r="I17" s="110"/>
      <c r="J17" s="110"/>
      <c r="K17" s="110"/>
      <c r="L17"/>
      <c r="M17"/>
      <c r="S17" s="27" t="s">
        <v>147</v>
      </c>
    </row>
    <row r="18" spans="1:19" ht="13.5" thickBot="1" x14ac:dyDescent="0.25">
      <c r="A18" s="108"/>
      <c r="B18" s="108"/>
      <c r="C18" s="109"/>
      <c r="D18" s="109"/>
      <c r="E18" s="255" t="s">
        <v>79</v>
      </c>
      <c r="F18" s="241"/>
      <c r="G18" s="110"/>
      <c r="H18" s="110"/>
      <c r="I18" s="110"/>
      <c r="J18" s="110"/>
      <c r="K18" s="110"/>
      <c r="L18"/>
      <c r="M18"/>
    </row>
    <row r="19" spans="1:19" ht="21" customHeight="1" x14ac:dyDescent="0.2">
      <c r="A19" s="108"/>
      <c r="B19" s="108" t="s">
        <v>65</v>
      </c>
      <c r="C19" s="109"/>
      <c r="D19" s="109"/>
      <c r="E19" s="109"/>
      <c r="F19" s="130"/>
      <c r="G19" s="110"/>
      <c r="H19" s="110"/>
      <c r="I19" s="110"/>
      <c r="J19" s="45"/>
      <c r="K19" s="45"/>
      <c r="L19"/>
      <c r="M19"/>
      <c r="S19" s="27" t="s">
        <v>129</v>
      </c>
    </row>
    <row r="20" spans="1:19" x14ac:dyDescent="0.2">
      <c r="A20" s="108"/>
      <c r="B20" s="128" t="s">
        <v>66</v>
      </c>
      <c r="C20" s="139"/>
      <c r="D20" s="139"/>
      <c r="E20" s="139"/>
      <c r="F20" s="140"/>
      <c r="G20" s="110"/>
      <c r="H20" s="110"/>
      <c r="I20" s="110"/>
      <c r="J20" s="128" t="s">
        <v>118</v>
      </c>
      <c r="K20" s="113"/>
      <c r="L20" s="113"/>
      <c r="M20" s="113"/>
      <c r="N20" s="113"/>
      <c r="O20" s="114"/>
      <c r="P20" s="48"/>
      <c r="S20" s="27" t="s">
        <v>148</v>
      </c>
    </row>
    <row r="21" spans="1:19" ht="12.75" thickBot="1" x14ac:dyDescent="0.25">
      <c r="A21" s="108"/>
      <c r="B21" s="122"/>
      <c r="C21" s="133" t="s">
        <v>67</v>
      </c>
      <c r="D21" s="109"/>
      <c r="E21" s="109"/>
      <c r="F21" s="134">
        <f>K6+K7</f>
        <v>0</v>
      </c>
      <c r="G21" s="109"/>
      <c r="H21" s="110"/>
      <c r="I21" s="109"/>
      <c r="J21" s="115" t="s">
        <v>68</v>
      </c>
      <c r="K21" s="109"/>
      <c r="L21" s="116">
        <v>2.93E-2</v>
      </c>
      <c r="M21" s="117" t="s">
        <v>117</v>
      </c>
      <c r="N21" s="109"/>
      <c r="O21" s="118">
        <v>53427</v>
      </c>
      <c r="S21" s="27" t="s">
        <v>149</v>
      </c>
    </row>
    <row r="22" spans="1:19" ht="12.75" thickBot="1" x14ac:dyDescent="0.25">
      <c r="A22" s="108"/>
      <c r="B22" s="122"/>
      <c r="C22" s="133" t="s">
        <v>69</v>
      </c>
      <c r="D22" s="109"/>
      <c r="E22" s="109"/>
      <c r="F22" s="135">
        <v>16</v>
      </c>
      <c r="G22" s="110"/>
      <c r="H22" s="110"/>
      <c r="I22" s="109"/>
      <c r="J22" s="115" t="s">
        <v>129</v>
      </c>
      <c r="K22" s="109"/>
      <c r="L22" s="116">
        <v>0.06</v>
      </c>
      <c r="M22" s="115" t="s">
        <v>70</v>
      </c>
      <c r="N22" s="109"/>
      <c r="O22" s="129">
        <v>73.819999999999993</v>
      </c>
      <c r="S22" s="27" t="s">
        <v>171</v>
      </c>
    </row>
    <row r="23" spans="1:19" x14ac:dyDescent="0.2">
      <c r="A23" s="108"/>
      <c r="B23" s="122"/>
      <c r="C23" s="133" t="s">
        <v>65</v>
      </c>
      <c r="D23" s="109"/>
      <c r="E23" s="109"/>
      <c r="F23" s="136">
        <f>F21*F22</f>
        <v>0</v>
      </c>
      <c r="G23" s="110"/>
      <c r="H23" s="110"/>
      <c r="I23" s="109"/>
      <c r="J23" s="115" t="s">
        <v>71</v>
      </c>
      <c r="K23" s="109"/>
      <c r="L23" s="120">
        <v>0.42</v>
      </c>
      <c r="M23" s="253" t="s">
        <v>72</v>
      </c>
      <c r="N23" s="246"/>
      <c r="O23" s="121">
        <f>3365741174/1000000</f>
        <v>3365.7411739999998</v>
      </c>
      <c r="S23" s="27" t="s">
        <v>150</v>
      </c>
    </row>
    <row r="24" spans="1:19" x14ac:dyDescent="0.2">
      <c r="A24" s="108"/>
      <c r="B24" s="126"/>
      <c r="C24" s="137" t="s">
        <v>73</v>
      </c>
      <c r="D24" s="125"/>
      <c r="E24" s="125"/>
      <c r="F24" s="138">
        <f>F23/(1+F18)^K15</f>
        <v>0</v>
      </c>
      <c r="G24" s="112"/>
      <c r="H24" s="110"/>
      <c r="I24" s="109"/>
      <c r="J24" s="117" t="s">
        <v>74</v>
      </c>
      <c r="K24" s="109"/>
      <c r="L24" s="254"/>
      <c r="M24" s="117" t="s">
        <v>75</v>
      </c>
      <c r="N24" s="109"/>
      <c r="O24" s="235"/>
      <c r="S24" s="27" t="s">
        <v>151</v>
      </c>
    </row>
    <row r="25" spans="1:19" x14ac:dyDescent="0.2">
      <c r="A25" s="109"/>
      <c r="B25" s="128" t="s">
        <v>76</v>
      </c>
      <c r="C25" s="139"/>
      <c r="D25" s="139"/>
      <c r="E25" s="139"/>
      <c r="F25" s="140"/>
      <c r="G25" s="110"/>
      <c r="H25" s="110"/>
      <c r="I25" s="109"/>
      <c r="J25" s="117" t="s">
        <v>77</v>
      </c>
      <c r="K25" s="109"/>
      <c r="L25" s="123">
        <v>5.6250000000000001E-2</v>
      </c>
      <c r="M25" s="122"/>
      <c r="N25" s="109"/>
      <c r="O25" s="119"/>
      <c r="S25" s="122" t="s">
        <v>130</v>
      </c>
    </row>
    <row r="26" spans="1:19" ht="12.75" thickBot="1" x14ac:dyDescent="0.25">
      <c r="A26" s="109"/>
      <c r="B26" s="141"/>
      <c r="C26" s="142" t="s">
        <v>54</v>
      </c>
      <c r="D26" s="132"/>
      <c r="E26" s="132"/>
      <c r="F26" s="143">
        <f>K13</f>
        <v>0</v>
      </c>
      <c r="G26" s="109"/>
      <c r="H26" s="110"/>
      <c r="I26" s="109"/>
      <c r="J26" s="122"/>
      <c r="K26" s="109"/>
      <c r="L26" s="109"/>
      <c r="M26" s="122"/>
      <c r="N26" s="109"/>
      <c r="O26" s="119"/>
    </row>
    <row r="27" spans="1:19" ht="12.75" thickBot="1" x14ac:dyDescent="0.25">
      <c r="A27" s="109"/>
      <c r="B27" s="122"/>
      <c r="C27" s="133" t="s">
        <v>78</v>
      </c>
      <c r="D27" s="109"/>
      <c r="E27" s="109"/>
      <c r="F27" s="144">
        <v>0.02</v>
      </c>
      <c r="G27" s="110"/>
      <c r="H27" s="110"/>
      <c r="I27" s="109"/>
      <c r="J27" s="124" t="s">
        <v>79</v>
      </c>
      <c r="K27" s="125"/>
      <c r="L27" s="242"/>
      <c r="M27" s="126"/>
      <c r="N27" s="125"/>
      <c r="O27" s="127"/>
    </row>
    <row r="28" spans="1:19" ht="12.75" x14ac:dyDescent="0.2">
      <c r="A28" s="109"/>
      <c r="B28" s="122"/>
      <c r="C28" s="133" t="s">
        <v>65</v>
      </c>
      <c r="D28" s="109"/>
      <c r="E28" s="109"/>
      <c r="F28" s="145">
        <f>F26*(1+F27)/(F18-F27)</f>
        <v>0</v>
      </c>
      <c r="G28" s="131"/>
      <c r="H28" s="110"/>
      <c r="I28" s="109"/>
    </row>
    <row r="29" spans="1:19" x14ac:dyDescent="0.2">
      <c r="A29" s="109"/>
      <c r="B29" s="126"/>
      <c r="C29" s="137" t="s">
        <v>73</v>
      </c>
      <c r="D29" s="125"/>
      <c r="E29" s="125"/>
      <c r="F29" s="146">
        <f>F28/(1+F18)^K15</f>
        <v>0</v>
      </c>
      <c r="G29" s="112"/>
      <c r="H29" s="110"/>
      <c r="I29" s="109"/>
    </row>
    <row r="30" spans="1:19" s="109" customFormat="1" ht="9.75" customHeight="1" x14ac:dyDescent="0.2">
      <c r="J30" s="46" t="s">
        <v>206</v>
      </c>
    </row>
    <row r="31" spans="1:19" x14ac:dyDescent="0.2">
      <c r="A31" s="109"/>
      <c r="B31" s="128" t="s">
        <v>119</v>
      </c>
      <c r="C31" s="139"/>
      <c r="D31" s="139"/>
      <c r="E31" s="149" t="s">
        <v>120</v>
      </c>
      <c r="F31" s="150" t="s">
        <v>76</v>
      </c>
      <c r="G31" s="110"/>
      <c r="H31" s="110"/>
      <c r="I31" s="109"/>
    </row>
    <row r="32" spans="1:19" x14ac:dyDescent="0.2">
      <c r="A32" s="109"/>
      <c r="B32" s="122" t="s">
        <v>121</v>
      </c>
      <c r="C32" s="109"/>
      <c r="D32" s="109"/>
      <c r="E32" s="235">
        <f>G17</f>
        <v>0</v>
      </c>
      <c r="F32" s="236">
        <f>G17</f>
        <v>0</v>
      </c>
    </row>
    <row r="33" spans="1:16" x14ac:dyDescent="0.2">
      <c r="A33" s="109"/>
      <c r="B33" s="122" t="s">
        <v>122</v>
      </c>
      <c r="C33" s="109"/>
      <c r="D33" s="109"/>
      <c r="E33" s="237">
        <f>F24</f>
        <v>0</v>
      </c>
      <c r="F33" s="236">
        <f>F29</f>
        <v>0</v>
      </c>
      <c r="N33" s="47"/>
      <c r="O33" s="47"/>
      <c r="P33" s="47"/>
    </row>
    <row r="34" spans="1:16" x14ac:dyDescent="0.2">
      <c r="A34" s="109"/>
      <c r="B34" s="117" t="s">
        <v>123</v>
      </c>
      <c r="C34" s="109"/>
      <c r="D34" s="109"/>
      <c r="E34" s="238">
        <f>E32+E33</f>
        <v>0</v>
      </c>
      <c r="F34" s="239">
        <f>F32+F33</f>
        <v>0</v>
      </c>
    </row>
    <row r="35" spans="1:16" x14ac:dyDescent="0.2">
      <c r="A35" s="109"/>
      <c r="B35" s="122" t="s">
        <v>130</v>
      </c>
      <c r="C35" s="109"/>
      <c r="D35" s="109"/>
      <c r="E35" s="110">
        <v>51727</v>
      </c>
      <c r="F35" s="134">
        <f>E35</f>
        <v>51727</v>
      </c>
    </row>
    <row r="36" spans="1:16" x14ac:dyDescent="0.2">
      <c r="A36" s="109"/>
      <c r="B36" s="117" t="s">
        <v>75</v>
      </c>
      <c r="C36" s="108"/>
      <c r="D36" s="108"/>
      <c r="E36" s="112">
        <f>E34-E35</f>
        <v>-51727</v>
      </c>
      <c r="F36" s="147">
        <f>F34-F35</f>
        <v>-51727</v>
      </c>
    </row>
    <row r="37" spans="1:16" x14ac:dyDescent="0.2">
      <c r="A37" s="109"/>
      <c r="B37" s="122" t="s">
        <v>128</v>
      </c>
      <c r="C37" s="109"/>
      <c r="D37" s="109"/>
      <c r="E37" s="258">
        <v>3365.7411739999998</v>
      </c>
      <c r="F37" s="259">
        <v>3365.7411739999998</v>
      </c>
      <c r="G37" s="249" t="s">
        <v>212</v>
      </c>
      <c r="H37" s="246"/>
      <c r="I37" s="246"/>
      <c r="J37" s="246"/>
      <c r="N37" s="48"/>
      <c r="O37" s="48"/>
      <c r="P37" s="48"/>
    </row>
    <row r="38" spans="1:16" x14ac:dyDescent="0.2">
      <c r="B38" s="124" t="s">
        <v>124</v>
      </c>
      <c r="C38" s="148"/>
      <c r="D38" s="148"/>
      <c r="E38" s="244">
        <f>E36/E37</f>
        <v>-15.36868027749302</v>
      </c>
      <c r="F38" s="245">
        <f>F36/F37</f>
        <v>-15.36868027749302</v>
      </c>
    </row>
  </sheetData>
  <mergeCells count="5">
    <mergeCell ref="R8:R9"/>
    <mergeCell ref="T8:T9"/>
    <mergeCell ref="U8:U9"/>
    <mergeCell ref="V8:V9"/>
    <mergeCell ref="X8:X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57"/>
  <sheetViews>
    <sheetView zoomScale="110" zoomScaleNormal="110" workbookViewId="0">
      <pane xSplit="3" ySplit="5" topLeftCell="D6" activePane="bottomRight" state="frozen"/>
      <selection pane="topRight" activeCell="C1" sqref="C1"/>
      <selection pane="bottomLeft" activeCell="A6" sqref="A6"/>
      <selection pane="bottomRight" activeCell="C32" sqref="C32"/>
    </sheetView>
  </sheetViews>
  <sheetFormatPr defaultColWidth="9.140625" defaultRowHeight="20.100000000000001" customHeight="1" x14ac:dyDescent="0.2"/>
  <cols>
    <col min="1" max="2" width="2.7109375" style="1" customWidth="1"/>
    <col min="3" max="3" width="33.85546875" style="1" customWidth="1"/>
    <col min="4" max="4" width="13.7109375" style="2" bestFit="1" customWidth="1"/>
    <col min="5" max="5" width="9.7109375" style="2" customWidth="1"/>
    <col min="6" max="11" width="9.7109375" style="1" customWidth="1"/>
    <col min="12" max="16384" width="9.140625" style="1"/>
  </cols>
  <sheetData>
    <row r="1" spans="1:13" ht="58.5" customHeight="1" x14ac:dyDescent="0.2">
      <c r="B1" s="8"/>
      <c r="C1" s="8"/>
      <c r="D1" s="9"/>
      <c r="E1" s="9"/>
      <c r="F1" s="8"/>
      <c r="G1" s="8"/>
      <c r="H1" s="8"/>
      <c r="I1" s="8"/>
      <c r="J1" s="8"/>
      <c r="K1" s="8"/>
    </row>
    <row r="2" spans="1:13" ht="12.75" customHeight="1" x14ac:dyDescent="0.2">
      <c r="A2" s="6" t="s">
        <v>6</v>
      </c>
      <c r="B2" s="14"/>
      <c r="C2" s="23"/>
      <c r="D2" s="7"/>
      <c r="E2" s="7"/>
      <c r="F2" s="6"/>
      <c r="G2" s="6"/>
      <c r="H2" s="6"/>
      <c r="I2" s="6"/>
      <c r="J2" s="6"/>
      <c r="K2" s="6"/>
    </row>
    <row r="3" spans="1:13" ht="12.75" customHeight="1" x14ac:dyDescent="0.2">
      <c r="A3" s="3" t="s">
        <v>86</v>
      </c>
      <c r="B3" s="5"/>
      <c r="C3" s="4"/>
      <c r="D3" s="15" t="s">
        <v>15</v>
      </c>
      <c r="E3" s="15"/>
      <c r="F3" s="17"/>
      <c r="G3" s="18" t="s">
        <v>16</v>
      </c>
      <c r="H3" s="19"/>
      <c r="I3" s="20"/>
      <c r="J3" s="19"/>
      <c r="K3" s="19"/>
      <c r="L3"/>
      <c r="M3"/>
    </row>
    <row r="4" spans="1:13" ht="5.25" customHeight="1" x14ac:dyDescent="0.2">
      <c r="A4" s="3"/>
      <c r="B4" s="5"/>
      <c r="C4" s="4"/>
      <c r="D4" s="11"/>
      <c r="E4" s="11"/>
      <c r="F4" s="10"/>
      <c r="G4" s="10"/>
      <c r="H4" s="10"/>
      <c r="I4" s="10"/>
      <c r="J4" s="10"/>
      <c r="K4" s="10"/>
    </row>
    <row r="5" spans="1:13" ht="12.75" customHeight="1" x14ac:dyDescent="0.2">
      <c r="A5" s="12" t="s">
        <v>125</v>
      </c>
      <c r="B5" s="24"/>
      <c r="C5" s="49"/>
      <c r="D5" s="21">
        <v>2010</v>
      </c>
      <c r="E5" s="21">
        <f t="shared" ref="E5:K5" si="0">D5+1</f>
        <v>2011</v>
      </c>
      <c r="F5" s="21">
        <f t="shared" si="0"/>
        <v>2012</v>
      </c>
      <c r="G5" s="22">
        <f t="shared" si="0"/>
        <v>2013</v>
      </c>
      <c r="H5" s="22">
        <f t="shared" si="0"/>
        <v>2014</v>
      </c>
      <c r="I5" s="22">
        <f t="shared" si="0"/>
        <v>2015</v>
      </c>
      <c r="J5" s="22">
        <f t="shared" si="0"/>
        <v>2016</v>
      </c>
      <c r="K5" s="22">
        <f t="shared" si="0"/>
        <v>2017</v>
      </c>
    </row>
    <row r="6" spans="1:13" ht="21" customHeight="1" x14ac:dyDescent="0.2">
      <c r="A6" s="50" t="s">
        <v>19</v>
      </c>
      <c r="B6" s="51"/>
      <c r="C6" s="52"/>
      <c r="D6" s="53"/>
      <c r="E6" s="53"/>
      <c r="F6" s="53"/>
      <c r="G6" s="53"/>
      <c r="H6" s="53"/>
      <c r="I6" s="53"/>
      <c r="J6" s="53"/>
      <c r="K6" s="53"/>
    </row>
    <row r="7" spans="1:13" ht="12" x14ac:dyDescent="0.2">
      <c r="A7" s="54"/>
      <c r="B7" s="51" t="s">
        <v>87</v>
      </c>
      <c r="C7" s="52"/>
      <c r="D7" s="55">
        <v>405132</v>
      </c>
      <c r="E7" s="55">
        <v>418952</v>
      </c>
      <c r="F7" s="55">
        <v>443854</v>
      </c>
      <c r="G7" s="56"/>
      <c r="H7" s="56"/>
      <c r="I7" s="56"/>
      <c r="J7" s="56"/>
      <c r="K7" s="56"/>
    </row>
    <row r="8" spans="1:13" ht="12" x14ac:dyDescent="0.2">
      <c r="A8" s="54"/>
      <c r="B8" s="51"/>
      <c r="C8" s="57" t="s">
        <v>88</v>
      </c>
      <c r="D8" s="58"/>
      <c r="E8" s="59">
        <f>E7/D7-1</f>
        <v>3.4112338694548994E-2</v>
      </c>
      <c r="F8" s="59">
        <f>F7/E7-1</f>
        <v>5.9438790123928387E-2</v>
      </c>
      <c r="G8" s="56"/>
      <c r="H8" s="56"/>
      <c r="I8" s="56"/>
      <c r="J8" s="56"/>
      <c r="K8" s="56"/>
    </row>
    <row r="9" spans="1:13" ht="12" x14ac:dyDescent="0.2">
      <c r="A9" s="50"/>
      <c r="B9" s="54" t="s">
        <v>45</v>
      </c>
      <c r="C9" s="52"/>
      <c r="D9" s="55">
        <v>2953</v>
      </c>
      <c r="E9" s="55">
        <v>2897</v>
      </c>
      <c r="F9" s="55">
        <v>3096</v>
      </c>
      <c r="G9" s="53"/>
      <c r="H9" s="53"/>
      <c r="I9" s="53"/>
      <c r="J9" s="53"/>
      <c r="K9" s="53"/>
    </row>
    <row r="10" spans="1:13" ht="12" x14ac:dyDescent="0.2">
      <c r="A10" s="50"/>
      <c r="B10" s="51"/>
      <c r="C10" s="57" t="s">
        <v>88</v>
      </c>
      <c r="D10" s="60"/>
      <c r="E10" s="59">
        <f>E9/D9-1</f>
        <v>-1.8963765662038612E-2</v>
      </c>
      <c r="F10" s="59">
        <f>F9/E9-1</f>
        <v>6.8691750086296244E-2</v>
      </c>
      <c r="G10" s="53"/>
      <c r="H10" s="53"/>
      <c r="I10" s="53"/>
      <c r="J10" s="53"/>
      <c r="K10" s="53"/>
    </row>
    <row r="11" spans="1:13" ht="12.75" customHeight="1" x14ac:dyDescent="0.2">
      <c r="A11" s="54"/>
      <c r="B11" s="50" t="s">
        <v>37</v>
      </c>
      <c r="C11" s="52"/>
      <c r="D11" s="61">
        <f>D7+D9</f>
        <v>408085</v>
      </c>
      <c r="E11" s="61">
        <f>E7+E9</f>
        <v>421849</v>
      </c>
      <c r="F11" s="61">
        <f>F7+F9</f>
        <v>446950</v>
      </c>
      <c r="G11" s="61">
        <f>F11*(1+G12)</f>
        <v>473767</v>
      </c>
      <c r="H11" s="61">
        <f>G11*(1+H12)</f>
        <v>497455.35000000003</v>
      </c>
      <c r="I11" s="61">
        <f>H11*(1+I12)</f>
        <v>517353.56400000007</v>
      </c>
      <c r="J11" s="61">
        <f>I11*(1+J12)</f>
        <v>532874.17092000006</v>
      </c>
      <c r="K11" s="61">
        <f>J11*(1+K12)</f>
        <v>543531.65433840011</v>
      </c>
    </row>
    <row r="12" spans="1:13" ht="12.75" customHeight="1" x14ac:dyDescent="0.2">
      <c r="A12" s="54"/>
      <c r="B12" s="54"/>
      <c r="C12" s="57" t="s">
        <v>20</v>
      </c>
      <c r="D12" s="62"/>
      <c r="E12" s="59">
        <f>E11/D11-1</f>
        <v>3.3728267395273015E-2</v>
      </c>
      <c r="F12" s="59">
        <f>F11/E11-1</f>
        <v>5.9502333773459259E-2</v>
      </c>
      <c r="G12" s="97">
        <v>0.06</v>
      </c>
      <c r="H12" s="97">
        <v>0.05</v>
      </c>
      <c r="I12" s="97">
        <v>0.04</v>
      </c>
      <c r="J12" s="97">
        <v>0.03</v>
      </c>
      <c r="K12" s="97">
        <v>0.02</v>
      </c>
    </row>
    <row r="13" spans="1:13" ht="21" customHeight="1" x14ac:dyDescent="0.2">
      <c r="A13" s="50" t="s">
        <v>21</v>
      </c>
      <c r="B13" s="54"/>
      <c r="C13" s="57"/>
      <c r="D13" s="62"/>
      <c r="E13" s="62"/>
      <c r="F13" s="62"/>
      <c r="G13" s="63"/>
      <c r="H13" s="63"/>
      <c r="I13" s="63"/>
      <c r="J13" s="63"/>
      <c r="K13" s="63"/>
    </row>
    <row r="14" spans="1:13" ht="12.75" customHeight="1" x14ac:dyDescent="0.2">
      <c r="A14" s="54"/>
      <c r="B14" s="50" t="s">
        <v>21</v>
      </c>
      <c r="C14" s="52"/>
      <c r="D14" s="55">
        <f>304106</f>
        <v>304106</v>
      </c>
      <c r="E14" s="55">
        <f>314946</f>
        <v>314946</v>
      </c>
      <c r="F14" s="55">
        <f>335127</f>
        <v>335127</v>
      </c>
      <c r="G14" s="64">
        <f>G$11*G15</f>
        <v>355325.25</v>
      </c>
      <c r="H14" s="64">
        <f>H$11*H15</f>
        <v>373091.51250000001</v>
      </c>
      <c r="I14" s="64">
        <f>I$11*I15</f>
        <v>388015.17300000007</v>
      </c>
      <c r="J14" s="64">
        <f>J$11*J15</f>
        <v>399655.62819000008</v>
      </c>
      <c r="K14" s="64">
        <f>K$11*K15</f>
        <v>407648.74075380008</v>
      </c>
    </row>
    <row r="15" spans="1:13" ht="12.75" customHeight="1" x14ac:dyDescent="0.2">
      <c r="A15" s="54"/>
      <c r="B15" s="54"/>
      <c r="C15" s="57" t="s">
        <v>22</v>
      </c>
      <c r="D15" s="65">
        <f>D14/D11</f>
        <v>0.74520259259713051</v>
      </c>
      <c r="E15" s="65">
        <f>E14/E11</f>
        <v>0.74658467840388387</v>
      </c>
      <c r="F15" s="65">
        <f>F14/F11</f>
        <v>0.74980870343438866</v>
      </c>
      <c r="G15" s="66">
        <v>0.75</v>
      </c>
      <c r="H15" s="66">
        <v>0.75</v>
      </c>
      <c r="I15" s="66">
        <v>0.75</v>
      </c>
      <c r="J15" s="66">
        <v>0.75</v>
      </c>
      <c r="K15" s="66">
        <v>0.75</v>
      </c>
    </row>
    <row r="16" spans="1:13" ht="21" customHeight="1" x14ac:dyDescent="0.2">
      <c r="A16" s="54"/>
      <c r="B16" s="50" t="s">
        <v>36</v>
      </c>
      <c r="C16" s="52"/>
      <c r="D16" s="67">
        <f>D11-D14</f>
        <v>103979</v>
      </c>
      <c r="E16" s="67">
        <f t="shared" ref="E16:K16" si="1">E11-E14</f>
        <v>106903</v>
      </c>
      <c r="F16" s="67">
        <f t="shared" si="1"/>
        <v>111823</v>
      </c>
      <c r="G16" s="67">
        <f t="shared" si="1"/>
        <v>118441.75</v>
      </c>
      <c r="H16" s="67">
        <f t="shared" si="1"/>
        <v>124363.83750000002</v>
      </c>
      <c r="I16" s="67">
        <f t="shared" si="1"/>
        <v>129338.391</v>
      </c>
      <c r="J16" s="67">
        <f t="shared" si="1"/>
        <v>133218.54272999999</v>
      </c>
      <c r="K16" s="67">
        <f t="shared" si="1"/>
        <v>135882.91358460003</v>
      </c>
    </row>
    <row r="17" spans="1:11" ht="12.75" customHeight="1" x14ac:dyDescent="0.2">
      <c r="A17" s="54"/>
      <c r="B17" s="68"/>
      <c r="C17" s="57" t="s">
        <v>23</v>
      </c>
      <c r="D17" s="59">
        <f>D16/D11</f>
        <v>0.25479740740286949</v>
      </c>
      <c r="E17" s="59">
        <f t="shared" ref="E17:K17" si="2">E16/E11</f>
        <v>0.25341532159611613</v>
      </c>
      <c r="F17" s="59">
        <f t="shared" si="2"/>
        <v>0.25019129656561134</v>
      </c>
      <c r="G17" s="59">
        <f t="shared" si="2"/>
        <v>0.25</v>
      </c>
      <c r="H17" s="59">
        <f t="shared" si="2"/>
        <v>0.25000000000000006</v>
      </c>
      <c r="I17" s="59">
        <f t="shared" si="2"/>
        <v>0.24999999999999997</v>
      </c>
      <c r="J17" s="59">
        <f t="shared" si="2"/>
        <v>0.24999999999999994</v>
      </c>
      <c r="K17" s="59">
        <f t="shared" si="2"/>
        <v>0.25</v>
      </c>
    </row>
    <row r="18" spans="1:11" ht="21" customHeight="1" x14ac:dyDescent="0.2">
      <c r="A18" s="50" t="s">
        <v>29</v>
      </c>
      <c r="B18" s="54"/>
      <c r="C18" s="54"/>
      <c r="D18" s="69"/>
      <c r="E18" s="69"/>
      <c r="F18" s="69"/>
      <c r="G18" s="70"/>
      <c r="H18" s="70"/>
      <c r="I18" s="70"/>
      <c r="J18" s="70"/>
      <c r="K18" s="70"/>
    </row>
    <row r="19" spans="1:11" ht="12.75" customHeight="1" x14ac:dyDescent="0.2">
      <c r="A19" s="54"/>
      <c r="B19" s="54" t="s">
        <v>24</v>
      </c>
      <c r="C19" s="54"/>
      <c r="D19" s="55">
        <f>79977-7157</f>
        <v>72820</v>
      </c>
      <c r="E19" s="55">
        <f>81361-7641</f>
        <v>73720</v>
      </c>
      <c r="F19" s="55">
        <f>85265-8130</f>
        <v>77135</v>
      </c>
      <c r="G19" s="64">
        <f>G$11*G20</f>
        <v>81961.690999999992</v>
      </c>
      <c r="H19" s="64">
        <f>H$11*H20</f>
        <v>86059.775550000006</v>
      </c>
      <c r="I19" s="64">
        <f>I$11*I20</f>
        <v>89502.166572000002</v>
      </c>
      <c r="J19" s="64">
        <f>J$11*J20</f>
        <v>92187.231569160009</v>
      </c>
      <c r="K19" s="64">
        <f>K$11*K20</f>
        <v>94030.976200543213</v>
      </c>
    </row>
    <row r="20" spans="1:11" ht="12.75" customHeight="1" x14ac:dyDescent="0.2">
      <c r="A20" s="54"/>
      <c r="B20" s="54"/>
      <c r="C20" s="57" t="s">
        <v>43</v>
      </c>
      <c r="D20" s="59">
        <f>D19/D11</f>
        <v>0.17844321648676134</v>
      </c>
      <c r="E20" s="59">
        <f>E19/E11</f>
        <v>0.17475447375719749</v>
      </c>
      <c r="F20" s="59">
        <f>F19/F11</f>
        <v>0.17258082559570423</v>
      </c>
      <c r="G20" s="71">
        <v>0.17299999999999999</v>
      </c>
      <c r="H20" s="71">
        <v>0.17299999999999999</v>
      </c>
      <c r="I20" s="71">
        <v>0.17299999999999999</v>
      </c>
      <c r="J20" s="71">
        <v>0.17299999999999999</v>
      </c>
      <c r="K20" s="71">
        <v>0.17299999999999999</v>
      </c>
    </row>
    <row r="21" spans="1:11" ht="21" customHeight="1" x14ac:dyDescent="0.2">
      <c r="A21" s="50" t="s">
        <v>2</v>
      </c>
      <c r="B21" s="50"/>
      <c r="C21" s="52"/>
      <c r="D21" s="67">
        <f t="shared" ref="D21:K21" si="3">D16-D19</f>
        <v>31159</v>
      </c>
      <c r="E21" s="67">
        <f t="shared" si="3"/>
        <v>33183</v>
      </c>
      <c r="F21" s="67">
        <f t="shared" si="3"/>
        <v>34688</v>
      </c>
      <c r="G21" s="67">
        <f t="shared" si="3"/>
        <v>36480.059000000008</v>
      </c>
      <c r="H21" s="67">
        <f t="shared" si="3"/>
        <v>38304.061950000018</v>
      </c>
      <c r="I21" s="67">
        <f t="shared" si="3"/>
        <v>39836.224428000001</v>
      </c>
      <c r="J21" s="67">
        <f t="shared" si="3"/>
        <v>41031.311160839978</v>
      </c>
      <c r="K21" s="67">
        <f t="shared" si="3"/>
        <v>41851.937384056815</v>
      </c>
    </row>
    <row r="22" spans="1:11" ht="12.75" customHeight="1" x14ac:dyDescent="0.2">
      <c r="A22" s="54"/>
      <c r="B22" s="68"/>
      <c r="C22" s="57" t="s">
        <v>25</v>
      </c>
      <c r="D22" s="59">
        <f t="shared" ref="D22:K22" si="4">D21/D11</f>
        <v>7.6354190916108164E-2</v>
      </c>
      <c r="E22" s="59">
        <f t="shared" si="4"/>
        <v>7.8660847838918663E-2</v>
      </c>
      <c r="F22" s="59">
        <f t="shared" si="4"/>
        <v>7.7610470969907142E-2</v>
      </c>
      <c r="G22" s="59">
        <f t="shared" si="4"/>
        <v>7.7000000000000013E-2</v>
      </c>
      <c r="H22" s="59">
        <f t="shared" si="4"/>
        <v>7.7000000000000027E-2</v>
      </c>
      <c r="I22" s="59">
        <f t="shared" si="4"/>
        <v>7.6999999999999985E-2</v>
      </c>
      <c r="J22" s="59">
        <f t="shared" si="4"/>
        <v>7.6999999999999943E-2</v>
      </c>
      <c r="K22" s="59">
        <f t="shared" si="4"/>
        <v>7.7000000000000013E-2</v>
      </c>
    </row>
    <row r="23" spans="1:11" ht="21" customHeight="1" x14ac:dyDescent="0.2">
      <c r="A23" s="54"/>
      <c r="B23" s="54" t="s">
        <v>26</v>
      </c>
      <c r="C23" s="54"/>
      <c r="D23" s="72">
        <v>7157</v>
      </c>
      <c r="E23" s="72">
        <v>7641</v>
      </c>
      <c r="F23" s="72">
        <v>8130</v>
      </c>
      <c r="G23" s="73">
        <v>8591.6632571428563</v>
      </c>
      <c r="H23" s="73">
        <v>9188.6096771428565</v>
      </c>
      <c r="I23" s="73">
        <v>9809.4339539428565</v>
      </c>
      <c r="J23" s="73">
        <v>10448.882959046856</v>
      </c>
      <c r="K23" s="73">
        <v>11101.120944252936</v>
      </c>
    </row>
    <row r="24" spans="1:11" ht="21" customHeight="1" x14ac:dyDescent="0.2">
      <c r="A24" s="50" t="s">
        <v>1</v>
      </c>
      <c r="B24" s="50"/>
      <c r="C24" s="52"/>
      <c r="D24" s="67">
        <f t="shared" ref="D24:K24" si="5">D21-D23</f>
        <v>24002</v>
      </c>
      <c r="E24" s="67">
        <f t="shared" si="5"/>
        <v>25542</v>
      </c>
      <c r="F24" s="67">
        <f t="shared" si="5"/>
        <v>26558</v>
      </c>
      <c r="G24" s="67">
        <f t="shared" si="5"/>
        <v>27888.395742857152</v>
      </c>
      <c r="H24" s="67">
        <f t="shared" si="5"/>
        <v>29115.452272857161</v>
      </c>
      <c r="I24" s="67">
        <f t="shared" si="5"/>
        <v>30026.790474057147</v>
      </c>
      <c r="J24" s="67">
        <f t="shared" si="5"/>
        <v>30582.428201793122</v>
      </c>
      <c r="K24" s="67">
        <f t="shared" si="5"/>
        <v>30750.816439803879</v>
      </c>
    </row>
    <row r="25" spans="1:11" ht="12.75" customHeight="1" x14ac:dyDescent="0.2">
      <c r="A25" s="54"/>
      <c r="B25" s="54"/>
      <c r="C25" s="68" t="s">
        <v>27</v>
      </c>
      <c r="D25" s="59">
        <f>D24/D11</f>
        <v>5.8816178002131909E-2</v>
      </c>
      <c r="E25" s="59">
        <f>E24/E11</f>
        <v>6.0547731534269372E-2</v>
      </c>
      <c r="F25" s="59">
        <f>F24/F11</f>
        <v>5.942051683633516E-2</v>
      </c>
      <c r="G25" s="59">
        <f>G24/G$11</f>
        <v>5.8865213792554466E-2</v>
      </c>
      <c r="H25" s="59">
        <f>H24/H$11</f>
        <v>5.8528775040528079E-2</v>
      </c>
      <c r="I25" s="59">
        <f>I24/I$11</f>
        <v>5.8039206769738505E-2</v>
      </c>
      <c r="J25" s="59">
        <f>J24/J$11</f>
        <v>5.739146288324122E-2</v>
      </c>
      <c r="K25" s="59">
        <f>K24/K$11</f>
        <v>5.6575944003177732E-2</v>
      </c>
    </row>
    <row r="26" spans="1:11" ht="21" customHeight="1" x14ac:dyDescent="0.2">
      <c r="A26" s="50" t="s">
        <v>41</v>
      </c>
      <c r="B26" s="54"/>
      <c r="C26" s="68"/>
      <c r="D26" s="62"/>
      <c r="E26" s="62"/>
      <c r="F26" s="62"/>
      <c r="G26" s="62"/>
      <c r="H26" s="62"/>
      <c r="I26" s="62"/>
      <c r="J26" s="62"/>
      <c r="K26" s="62"/>
    </row>
    <row r="27" spans="1:11" ht="12.75" customHeight="1" x14ac:dyDescent="0.2">
      <c r="A27" s="54"/>
      <c r="B27" s="54" t="s">
        <v>46</v>
      </c>
      <c r="C27" s="54"/>
      <c r="D27" s="55">
        <v>1787</v>
      </c>
      <c r="E27" s="55">
        <v>1928</v>
      </c>
      <c r="F27" s="55">
        <v>2034</v>
      </c>
      <c r="G27" s="64">
        <v>2083.8451736513889</v>
      </c>
      <c r="H27" s="64">
        <v>2083.8451736513889</v>
      </c>
      <c r="I27" s="64">
        <v>2083.8451736513889</v>
      </c>
      <c r="J27" s="64">
        <v>2083.8451736513889</v>
      </c>
      <c r="K27" s="64">
        <v>2083.8451736513889</v>
      </c>
    </row>
    <row r="28" spans="1:11" ht="12.75" customHeight="1" x14ac:dyDescent="0.2">
      <c r="A28" s="54"/>
      <c r="B28" s="54" t="s">
        <v>47</v>
      </c>
      <c r="C28" s="54"/>
      <c r="D28" s="55">
        <v>278</v>
      </c>
      <c r="E28" s="55">
        <v>277</v>
      </c>
      <c r="F28" s="55">
        <v>288</v>
      </c>
      <c r="G28" s="64">
        <v>281.62439524996336</v>
      </c>
      <c r="H28" s="64">
        <v>281.62439524996336</v>
      </c>
      <c r="I28" s="64">
        <v>281.62439524996336</v>
      </c>
      <c r="J28" s="64">
        <v>281.62439524996336</v>
      </c>
      <c r="K28" s="64">
        <v>281.62439524996336</v>
      </c>
    </row>
    <row r="29" spans="1:11" ht="12.75" customHeight="1" x14ac:dyDescent="0.2">
      <c r="A29" s="54"/>
      <c r="B29" s="54" t="s">
        <v>28</v>
      </c>
      <c r="C29" s="54"/>
      <c r="D29" s="74">
        <v>-181</v>
      </c>
      <c r="E29" s="74">
        <v>-201</v>
      </c>
      <c r="F29" s="74">
        <v>-162</v>
      </c>
      <c r="G29" s="98">
        <v>-168.47819240575666</v>
      </c>
      <c r="H29" s="98">
        <v>-193.32101482497748</v>
      </c>
      <c r="I29" s="98">
        <v>-234.64571244256285</v>
      </c>
      <c r="J29" s="98">
        <v>-281.80336831164499</v>
      </c>
      <c r="K29" s="98">
        <v>-344.93776500704399</v>
      </c>
    </row>
    <row r="30" spans="1:11" ht="12.75" customHeight="1" x14ac:dyDescent="0.2">
      <c r="A30" s="54"/>
      <c r="B30" s="50" t="s">
        <v>40</v>
      </c>
      <c r="C30" s="54"/>
      <c r="D30" s="75">
        <f t="shared" ref="D30:K30" si="6">SUM(D27:D29)</f>
        <v>1884</v>
      </c>
      <c r="E30" s="75">
        <f t="shared" si="6"/>
        <v>2004</v>
      </c>
      <c r="F30" s="75">
        <f t="shared" si="6"/>
        <v>2160</v>
      </c>
      <c r="G30" s="75">
        <f t="shared" si="6"/>
        <v>2196.9913764955959</v>
      </c>
      <c r="H30" s="75">
        <f t="shared" si="6"/>
        <v>2172.1485540763751</v>
      </c>
      <c r="I30" s="75">
        <f t="shared" si="6"/>
        <v>2130.8238564587896</v>
      </c>
      <c r="J30" s="75">
        <f t="shared" si="6"/>
        <v>2083.6662005897074</v>
      </c>
      <c r="K30" s="75">
        <f t="shared" si="6"/>
        <v>2020.5318038943085</v>
      </c>
    </row>
    <row r="31" spans="1:11" ht="21" customHeight="1" x14ac:dyDescent="0.2">
      <c r="A31" s="50" t="s">
        <v>89</v>
      </c>
      <c r="B31" s="50"/>
      <c r="C31" s="54"/>
      <c r="D31" s="67">
        <f t="shared" ref="D31:K31" si="7">D24-D30</f>
        <v>22118</v>
      </c>
      <c r="E31" s="67">
        <f t="shared" si="7"/>
        <v>23538</v>
      </c>
      <c r="F31" s="67">
        <f t="shared" si="7"/>
        <v>24398</v>
      </c>
      <c r="G31" s="67">
        <f t="shared" si="7"/>
        <v>25691.404366361556</v>
      </c>
      <c r="H31" s="67">
        <f t="shared" si="7"/>
        <v>26943.303718780786</v>
      </c>
      <c r="I31" s="67">
        <f t="shared" si="7"/>
        <v>27895.966617598358</v>
      </c>
      <c r="J31" s="67">
        <f t="shared" si="7"/>
        <v>28498.762001203413</v>
      </c>
      <c r="K31" s="67">
        <f t="shared" si="7"/>
        <v>28730.284635909571</v>
      </c>
    </row>
    <row r="32" spans="1:11" ht="12.75" customHeight="1" x14ac:dyDescent="0.2">
      <c r="A32" s="54" t="s">
        <v>112</v>
      </c>
      <c r="B32" s="68"/>
      <c r="C32" s="57" t="s">
        <v>90</v>
      </c>
      <c r="D32" s="59">
        <f>D31/D11</f>
        <v>5.4199492752735334E-2</v>
      </c>
      <c r="E32" s="59">
        <f>E31/E11</f>
        <v>5.5797216539567478E-2</v>
      </c>
      <c r="F32" s="59">
        <f>F31/F11</f>
        <v>5.4587761494574338E-2</v>
      </c>
      <c r="G32" s="62">
        <f>G31/G$11</f>
        <v>5.4227931380534222E-2</v>
      </c>
      <c r="H32" s="62">
        <f>H31/H$11</f>
        <v>5.4162255403989092E-2</v>
      </c>
      <c r="I32" s="62">
        <f>I31/I$11</f>
        <v>5.3920507286963147E-2</v>
      </c>
      <c r="J32" s="62">
        <f>J31/J$11</f>
        <v>5.3481222315580966E-2</v>
      </c>
      <c r="K32" s="62">
        <f>K31/K$11</f>
        <v>5.285853069750053E-2</v>
      </c>
    </row>
    <row r="33" spans="1:11" ht="21" customHeight="1" x14ac:dyDescent="0.2">
      <c r="A33" s="54"/>
      <c r="B33" s="54" t="s">
        <v>30</v>
      </c>
      <c r="C33" s="54"/>
      <c r="D33" s="55">
        <v>7156</v>
      </c>
      <c r="E33" s="55">
        <v>7579</v>
      </c>
      <c r="F33" s="55">
        <v>7944</v>
      </c>
      <c r="G33" s="64">
        <f>G31*G34</f>
        <v>8478.1634408993141</v>
      </c>
      <c r="H33" s="64">
        <f>H31*H34</f>
        <v>8891.29022719766</v>
      </c>
      <c r="I33" s="64">
        <f>I31*I34</f>
        <v>9205.6689838074581</v>
      </c>
      <c r="J33" s="64">
        <f>J31*J34</f>
        <v>9404.5914603971269</v>
      </c>
      <c r="K33" s="64">
        <f>K31*K34</f>
        <v>9480.9939298501595</v>
      </c>
    </row>
    <row r="34" spans="1:11" ht="12.75" customHeight="1" x14ac:dyDescent="0.2">
      <c r="A34" s="54"/>
      <c r="B34" s="68"/>
      <c r="C34" s="57" t="s">
        <v>39</v>
      </c>
      <c r="D34" s="65">
        <f>D33/D31</f>
        <v>0.3235373903607921</v>
      </c>
      <c r="E34" s="65">
        <f>E33/E31</f>
        <v>0.32198997365961424</v>
      </c>
      <c r="F34" s="65">
        <f>F33/F31</f>
        <v>0.3256004590540208</v>
      </c>
      <c r="G34" s="83">
        <v>0.33</v>
      </c>
      <c r="H34" s="83">
        <v>0.33</v>
      </c>
      <c r="I34" s="83">
        <v>0.33</v>
      </c>
      <c r="J34" s="83">
        <v>0.33</v>
      </c>
      <c r="K34" s="83">
        <v>0.33</v>
      </c>
    </row>
    <row r="35" spans="1:11" ht="21" customHeight="1" x14ac:dyDescent="0.2">
      <c r="A35" s="50" t="s">
        <v>93</v>
      </c>
      <c r="B35" s="54"/>
      <c r="C35" s="54"/>
      <c r="D35" s="67">
        <f t="shared" ref="D35:K35" si="8">D31-D33</f>
        <v>14962</v>
      </c>
      <c r="E35" s="67">
        <f t="shared" si="8"/>
        <v>15959</v>
      </c>
      <c r="F35" s="67">
        <f t="shared" si="8"/>
        <v>16454</v>
      </c>
      <c r="G35" s="67">
        <f t="shared" si="8"/>
        <v>17213.24092546224</v>
      </c>
      <c r="H35" s="67">
        <f t="shared" si="8"/>
        <v>18052.013491583126</v>
      </c>
      <c r="I35" s="67">
        <f t="shared" si="8"/>
        <v>18690.297633790899</v>
      </c>
      <c r="J35" s="67">
        <f t="shared" si="8"/>
        <v>19094.170540806284</v>
      </c>
      <c r="K35" s="67">
        <f t="shared" si="8"/>
        <v>19249.290706059412</v>
      </c>
    </row>
    <row r="36" spans="1:11" ht="21.75" customHeight="1" x14ac:dyDescent="0.2">
      <c r="A36" s="50" t="s">
        <v>31</v>
      </c>
      <c r="B36" s="54"/>
      <c r="C36" s="54"/>
      <c r="D36" s="69"/>
      <c r="E36" s="69"/>
      <c r="F36" s="69"/>
      <c r="G36" s="69"/>
      <c r="H36" s="69"/>
      <c r="I36" s="69"/>
      <c r="J36" s="69"/>
      <c r="K36" s="69"/>
    </row>
    <row r="37" spans="1:11" ht="12.75" customHeight="1" x14ac:dyDescent="0.2">
      <c r="A37" s="54"/>
      <c r="B37" s="54" t="s">
        <v>32</v>
      </c>
      <c r="C37" s="54"/>
      <c r="D37" s="55">
        <v>-79</v>
      </c>
      <c r="E37" s="55">
        <v>1034</v>
      </c>
      <c r="F37" s="55">
        <v>-67</v>
      </c>
      <c r="G37" s="55">
        <v>0</v>
      </c>
      <c r="H37" s="55">
        <v>0</v>
      </c>
      <c r="I37" s="55">
        <v>0</v>
      </c>
      <c r="J37" s="55">
        <v>0</v>
      </c>
      <c r="K37" s="55">
        <v>0</v>
      </c>
    </row>
    <row r="38" spans="1:11" ht="12.75" customHeight="1" x14ac:dyDescent="0.2">
      <c r="A38" s="54"/>
      <c r="B38" s="54" t="s">
        <v>0</v>
      </c>
      <c r="C38" s="54"/>
      <c r="D38" s="55">
        <v>0</v>
      </c>
      <c r="E38" s="55">
        <v>0</v>
      </c>
      <c r="F38" s="55">
        <v>0</v>
      </c>
      <c r="G38" s="55">
        <v>0</v>
      </c>
      <c r="H38" s="55">
        <v>0</v>
      </c>
      <c r="I38" s="55">
        <v>0</v>
      </c>
      <c r="J38" s="55">
        <v>0</v>
      </c>
      <c r="K38" s="55">
        <v>0</v>
      </c>
    </row>
    <row r="39" spans="1:11" ht="12.75" customHeight="1" x14ac:dyDescent="0.2">
      <c r="A39" s="54"/>
      <c r="B39" s="50" t="s">
        <v>42</v>
      </c>
      <c r="C39" s="54"/>
      <c r="D39" s="76">
        <f t="shared" ref="D39:K39" si="9">SUM(D37:D38)</f>
        <v>-79</v>
      </c>
      <c r="E39" s="76">
        <f t="shared" si="9"/>
        <v>1034</v>
      </c>
      <c r="F39" s="76">
        <f t="shared" si="9"/>
        <v>-67</v>
      </c>
      <c r="G39" s="76">
        <f t="shared" si="9"/>
        <v>0</v>
      </c>
      <c r="H39" s="76">
        <f t="shared" si="9"/>
        <v>0</v>
      </c>
      <c r="I39" s="76">
        <f t="shared" si="9"/>
        <v>0</v>
      </c>
      <c r="J39" s="76">
        <f t="shared" si="9"/>
        <v>0</v>
      </c>
      <c r="K39" s="76">
        <f t="shared" si="9"/>
        <v>0</v>
      </c>
    </row>
    <row r="40" spans="1:11" ht="21" customHeight="1" x14ac:dyDescent="0.2">
      <c r="A40" s="50" t="s">
        <v>96</v>
      </c>
      <c r="B40" s="50"/>
      <c r="C40" s="54"/>
      <c r="D40" s="67">
        <f>D35+D39</f>
        <v>14883</v>
      </c>
      <c r="E40" s="67">
        <f t="shared" ref="E40:K40" si="10">E35+E39</f>
        <v>16993</v>
      </c>
      <c r="F40" s="67">
        <f t="shared" si="10"/>
        <v>16387</v>
      </c>
      <c r="G40" s="67">
        <f t="shared" si="10"/>
        <v>17213.24092546224</v>
      </c>
      <c r="H40" s="67">
        <f t="shared" si="10"/>
        <v>18052.013491583126</v>
      </c>
      <c r="I40" s="67">
        <f t="shared" si="10"/>
        <v>18690.297633790899</v>
      </c>
      <c r="J40" s="67">
        <f t="shared" si="10"/>
        <v>19094.170540806284</v>
      </c>
      <c r="K40" s="67">
        <f t="shared" si="10"/>
        <v>19249.290706059412</v>
      </c>
    </row>
    <row r="41" spans="1:11" ht="21" customHeight="1" x14ac:dyDescent="0.2">
      <c r="A41" s="50" t="s">
        <v>91</v>
      </c>
      <c r="B41" s="54"/>
      <c r="C41" s="52"/>
      <c r="D41" s="67"/>
      <c r="E41" s="67"/>
      <c r="F41" s="67"/>
      <c r="G41" s="67"/>
      <c r="H41" s="67"/>
      <c r="I41" s="67"/>
      <c r="J41" s="67"/>
      <c r="K41" s="67"/>
    </row>
    <row r="42" spans="1:11" ht="12.75" customHeight="1" x14ac:dyDescent="0.2">
      <c r="A42" s="54"/>
      <c r="B42" s="54" t="s">
        <v>94</v>
      </c>
      <c r="C42" s="54"/>
      <c r="D42" s="55">
        <v>-513</v>
      </c>
      <c r="E42" s="55">
        <v>-604</v>
      </c>
      <c r="F42" s="55">
        <v>-688</v>
      </c>
      <c r="G42" s="64">
        <f>-G40*G43</f>
        <v>-722.95611886941413</v>
      </c>
      <c r="H42" s="64">
        <f>-H40*H43</f>
        <v>-758.18456664649136</v>
      </c>
      <c r="I42" s="64">
        <f>-I40*I43</f>
        <v>-784.99250061921782</v>
      </c>
      <c r="J42" s="64">
        <f>-J40*J43</f>
        <v>-801.95516271386396</v>
      </c>
      <c r="K42" s="64">
        <f>-K40*K43</f>
        <v>-808.47020965449531</v>
      </c>
    </row>
    <row r="43" spans="1:11" ht="12.75" customHeight="1" x14ac:dyDescent="0.2">
      <c r="A43" s="54"/>
      <c r="B43" s="54"/>
      <c r="C43" s="68" t="s">
        <v>95</v>
      </c>
      <c r="D43" s="65">
        <f>-D42/D40</f>
        <v>3.4468857085265064E-2</v>
      </c>
      <c r="E43" s="65">
        <f>-E42/E40</f>
        <v>3.5544047548990758E-2</v>
      </c>
      <c r="F43" s="65">
        <f>-F42/F40</f>
        <v>4.1984499908464028E-2</v>
      </c>
      <c r="G43" s="83">
        <v>4.2000000000000003E-2</v>
      </c>
      <c r="H43" s="83">
        <v>4.2000000000000003E-2</v>
      </c>
      <c r="I43" s="83">
        <v>4.2000000000000003E-2</v>
      </c>
      <c r="J43" s="83">
        <v>4.2000000000000003E-2</v>
      </c>
      <c r="K43" s="83">
        <v>4.2000000000000003E-2</v>
      </c>
    </row>
    <row r="44" spans="1:11" ht="21" customHeight="1" thickBot="1" x14ac:dyDescent="0.25">
      <c r="A44" s="50" t="s">
        <v>92</v>
      </c>
      <c r="B44" s="50"/>
      <c r="C44" s="52"/>
      <c r="D44" s="77">
        <f>D40+D42</f>
        <v>14370</v>
      </c>
      <c r="E44" s="77">
        <f t="shared" ref="E44:K44" si="11">E40+E42</f>
        <v>16389</v>
      </c>
      <c r="F44" s="77">
        <f t="shared" si="11"/>
        <v>15699</v>
      </c>
      <c r="G44" s="77">
        <f t="shared" si="11"/>
        <v>16490.284806592826</v>
      </c>
      <c r="H44" s="77">
        <f t="shared" si="11"/>
        <v>17293.828924936635</v>
      </c>
      <c r="I44" s="77">
        <f t="shared" si="11"/>
        <v>17905.305133171682</v>
      </c>
      <c r="J44" s="77">
        <f t="shared" si="11"/>
        <v>18292.21537809242</v>
      </c>
      <c r="K44" s="77">
        <f t="shared" si="11"/>
        <v>18440.820496404915</v>
      </c>
    </row>
    <row r="45" spans="1:11" ht="21" customHeight="1" thickTop="1" x14ac:dyDescent="0.2">
      <c r="A45" s="50" t="s">
        <v>34</v>
      </c>
      <c r="B45" s="54"/>
      <c r="C45" s="54"/>
      <c r="D45" s="78"/>
      <c r="E45" s="78"/>
      <c r="F45" s="78"/>
      <c r="G45" s="78"/>
      <c r="H45" s="78"/>
      <c r="I45" s="78"/>
      <c r="J45" s="78"/>
      <c r="K45" s="78"/>
    </row>
    <row r="46" spans="1:11" ht="12.75" customHeight="1" x14ac:dyDescent="0.2">
      <c r="A46" s="54"/>
      <c r="B46" s="54" t="s">
        <v>3</v>
      </c>
      <c r="C46" s="54"/>
      <c r="D46" s="79"/>
      <c r="E46" s="79"/>
      <c r="F46" s="79"/>
      <c r="G46" s="79"/>
      <c r="H46" s="79"/>
      <c r="I46" s="79"/>
      <c r="J46" s="79"/>
      <c r="K46" s="79"/>
    </row>
    <row r="47" spans="1:11" ht="12.75" customHeight="1" x14ac:dyDescent="0.2">
      <c r="A47" s="54"/>
      <c r="B47" s="54" t="s">
        <v>4</v>
      </c>
      <c r="C47" s="54"/>
      <c r="D47" s="79"/>
      <c r="E47" s="79"/>
      <c r="F47" s="79"/>
      <c r="G47" s="79"/>
      <c r="H47" s="79"/>
      <c r="I47" s="79"/>
      <c r="J47" s="79"/>
      <c r="K47" s="79"/>
    </row>
    <row r="48" spans="1:11" ht="21" customHeight="1" x14ac:dyDescent="0.2">
      <c r="A48" s="50" t="s">
        <v>35</v>
      </c>
      <c r="B48" s="54"/>
      <c r="C48" s="52"/>
      <c r="D48" s="153"/>
      <c r="E48" s="153"/>
      <c r="F48" s="153"/>
      <c r="G48" s="67"/>
      <c r="H48" s="67"/>
      <c r="I48" s="67"/>
      <c r="J48" s="67"/>
      <c r="K48" s="67"/>
    </row>
    <row r="49" spans="1:11" ht="12.75" customHeight="1" x14ac:dyDescent="0.2">
      <c r="A49" s="54"/>
      <c r="B49" s="54" t="s">
        <v>3</v>
      </c>
      <c r="C49" s="54"/>
      <c r="D49" s="80"/>
      <c r="E49" s="80"/>
      <c r="F49" s="80"/>
      <c r="G49" s="80"/>
      <c r="H49" s="99"/>
      <c r="I49" s="99"/>
      <c r="J49" s="99"/>
      <c r="K49" s="99"/>
    </row>
    <row r="50" spans="1:11" ht="12.75" customHeight="1" x14ac:dyDescent="0.2">
      <c r="A50" s="81"/>
      <c r="B50" s="81" t="s">
        <v>4</v>
      </c>
      <c r="C50" s="81"/>
      <c r="D50" s="82"/>
      <c r="E50" s="82"/>
      <c r="F50" s="82"/>
      <c r="G50" s="82"/>
      <c r="H50" s="100"/>
      <c r="I50" s="100"/>
      <c r="J50" s="100"/>
      <c r="K50" s="100"/>
    </row>
    <row r="51" spans="1:11" ht="12.75" customHeight="1" x14ac:dyDescent="0.2">
      <c r="A51" s="159"/>
      <c r="B51" s="159" t="s">
        <v>127</v>
      </c>
      <c r="C51" s="159"/>
      <c r="D51" s="160"/>
      <c r="E51" s="160"/>
      <c r="F51" s="160"/>
      <c r="G51" s="160"/>
      <c r="H51" s="160"/>
      <c r="I51" s="160"/>
      <c r="J51" s="160"/>
      <c r="K51" s="160"/>
    </row>
    <row r="52" spans="1:11" ht="20.100000000000001" customHeight="1" x14ac:dyDescent="0.2">
      <c r="E52" s="152"/>
      <c r="F52" s="51"/>
      <c r="G52" s="51"/>
      <c r="H52" s="51"/>
      <c r="I52" s="51"/>
      <c r="J52" s="51"/>
      <c r="K52" s="51"/>
    </row>
    <row r="53" spans="1:11" ht="20.100000000000001" customHeight="1" x14ac:dyDescent="0.2">
      <c r="A53" s="289" t="s">
        <v>126</v>
      </c>
      <c r="B53" s="290"/>
      <c r="C53" s="290"/>
      <c r="D53" s="291"/>
      <c r="G53" s="151"/>
      <c r="H53" s="151"/>
      <c r="I53" s="151"/>
      <c r="J53" s="151"/>
      <c r="K53" s="151"/>
    </row>
    <row r="54" spans="1:11" ht="20.100000000000001" customHeight="1" x14ac:dyDescent="0.2">
      <c r="A54" s="101" t="s">
        <v>116</v>
      </c>
      <c r="B54" s="101"/>
      <c r="C54" s="105"/>
      <c r="D54" s="102">
        <v>3361444307</v>
      </c>
    </row>
    <row r="55" spans="1:11" ht="20.100000000000001" customHeight="1" x14ac:dyDescent="0.2">
      <c r="A55" s="101" t="s">
        <v>115</v>
      </c>
      <c r="B55" s="101"/>
      <c r="C55" s="101"/>
      <c r="D55" s="102">
        <v>13596000</v>
      </c>
    </row>
    <row r="56" spans="1:11" ht="20.100000000000001" customHeight="1" x14ac:dyDescent="0.2">
      <c r="A56" s="106" t="s">
        <v>113</v>
      </c>
      <c r="B56" s="106"/>
      <c r="C56" s="106"/>
      <c r="D56" s="104">
        <v>50.49</v>
      </c>
    </row>
    <row r="57" spans="1:11" ht="20.100000000000001" customHeight="1" x14ac:dyDescent="0.2">
      <c r="A57" s="106" t="s">
        <v>114</v>
      </c>
      <c r="B57" s="106"/>
      <c r="C57" s="106"/>
      <c r="D57" s="103">
        <f>D55*D56</f>
        <v>686462040</v>
      </c>
    </row>
  </sheetData>
  <mergeCells count="1">
    <mergeCell ref="A53:D53"/>
  </mergeCells>
  <phoneticPr fontId="9" type="noConversion"/>
  <pageMargins left="0.75" right="0.75" top="1" bottom="1" header="0.5" footer="0.5"/>
  <pageSetup scale="83" orientation="landscape" r:id="rId1"/>
  <headerFooter alignWithMargins="0">
    <oddFooter>&amp;LThe Analyst Exchange&amp;8On - Line Trainingwww.theanalystexchange.com&amp;R&amp;F, &amp;A&amp;P of &amp;N</oddFooter>
  </headerFooter>
  <rowBreaks count="1" manualBreakCount="1">
    <brk id="35" min="1"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51"/>
  <sheetViews>
    <sheetView workbookViewId="0">
      <pane xSplit="3" ySplit="5" topLeftCell="D6" activePane="bottomRight" state="frozen"/>
      <selection activeCell="D6" sqref="D6"/>
      <selection pane="topRight" activeCell="D6" sqref="D6"/>
      <selection pane="bottomLeft" activeCell="D6" sqref="D6"/>
      <selection pane="bottomRight" activeCell="G5" sqref="G5:K5"/>
    </sheetView>
  </sheetViews>
  <sheetFormatPr defaultColWidth="9.140625" defaultRowHeight="20.100000000000001" customHeight="1" x14ac:dyDescent="0.2"/>
  <cols>
    <col min="1" max="2" width="2.7109375" style="1" customWidth="1"/>
    <col min="3" max="3" width="47.7109375" style="1" customWidth="1"/>
    <col min="4" max="5" width="9.7109375" style="2" customWidth="1"/>
    <col min="6" max="11" width="9.7109375" style="1" customWidth="1"/>
    <col min="12" max="16384" width="9.140625" style="1"/>
  </cols>
  <sheetData>
    <row r="1" spans="1:11" ht="58.5" customHeight="1" x14ac:dyDescent="0.2">
      <c r="E1" s="9"/>
      <c r="F1" s="8"/>
      <c r="G1" s="8"/>
      <c r="H1" s="8"/>
      <c r="I1" s="8"/>
      <c r="J1" s="8"/>
      <c r="K1" s="8"/>
    </row>
    <row r="2" spans="1:11" ht="12.75" customHeight="1" x14ac:dyDescent="0.2">
      <c r="A2" s="6" t="s">
        <v>5</v>
      </c>
      <c r="B2" s="6"/>
      <c r="C2" s="16"/>
      <c r="D2" s="7"/>
      <c r="E2" s="7"/>
      <c r="F2" s="6"/>
      <c r="G2" s="6"/>
      <c r="H2" s="6"/>
      <c r="I2" s="6"/>
      <c r="J2" s="6"/>
      <c r="K2" s="6"/>
    </row>
    <row r="3" spans="1:11" ht="12.75" customHeight="1" x14ac:dyDescent="0.2">
      <c r="A3" s="3" t="s">
        <v>48</v>
      </c>
      <c r="B3" s="4"/>
      <c r="C3" s="11"/>
      <c r="D3" s="15" t="s">
        <v>15</v>
      </c>
      <c r="E3" s="15"/>
      <c r="F3" s="17"/>
      <c r="G3" s="18" t="s">
        <v>16</v>
      </c>
      <c r="H3" s="19"/>
      <c r="I3" s="20"/>
      <c r="J3" s="19"/>
      <c r="K3" s="19"/>
    </row>
    <row r="4" spans="1:11" ht="12.75" customHeight="1" x14ac:dyDescent="0.2">
      <c r="A4" s="3"/>
      <c r="B4" s="4"/>
      <c r="C4" s="11"/>
      <c r="D4" s="11"/>
      <c r="E4" s="11"/>
      <c r="F4" s="10"/>
      <c r="G4" s="10"/>
      <c r="H4" s="10"/>
      <c r="I4" s="10"/>
      <c r="J4" s="10"/>
      <c r="K4" s="10"/>
    </row>
    <row r="5" spans="1:11" ht="12.75" customHeight="1" x14ac:dyDescent="0.2">
      <c r="A5" s="12" t="s">
        <v>125</v>
      </c>
      <c r="B5" s="13"/>
      <c r="C5" s="15"/>
      <c r="D5" s="21">
        <f>'Income Statement'!D5</f>
        <v>2010</v>
      </c>
      <c r="E5" s="21">
        <f>'Income Statement'!E5</f>
        <v>2011</v>
      </c>
      <c r="F5" s="21">
        <f>'Income Statement'!F5</f>
        <v>2012</v>
      </c>
      <c r="G5" s="22">
        <f>'Income Statement'!G5</f>
        <v>2013</v>
      </c>
      <c r="H5" s="22">
        <f>'Income Statement'!H5</f>
        <v>2014</v>
      </c>
      <c r="I5" s="22">
        <f>'Income Statement'!I5</f>
        <v>2015</v>
      </c>
      <c r="J5" s="22">
        <f>'Income Statement'!J5</f>
        <v>2016</v>
      </c>
      <c r="K5" s="22">
        <f>'Income Statement'!K5</f>
        <v>2017</v>
      </c>
    </row>
    <row r="6" spans="1:11" ht="21" customHeight="1" x14ac:dyDescent="0.2">
      <c r="A6" s="50" t="s">
        <v>9</v>
      </c>
      <c r="B6" s="50"/>
      <c r="C6" s="50"/>
      <c r="D6" s="84"/>
      <c r="E6" s="84"/>
      <c r="F6" s="84"/>
      <c r="G6" s="84"/>
      <c r="H6" s="84"/>
      <c r="I6" s="84"/>
      <c r="J6" s="84"/>
      <c r="K6" s="84"/>
    </row>
    <row r="7" spans="1:11" ht="12.75" customHeight="1" x14ac:dyDescent="0.2">
      <c r="A7" s="54"/>
      <c r="B7" s="54" t="s">
        <v>33</v>
      </c>
      <c r="C7" s="54"/>
      <c r="D7" s="87">
        <v>14883</v>
      </c>
      <c r="E7" s="87">
        <v>16993</v>
      </c>
      <c r="F7" s="87">
        <v>16387</v>
      </c>
      <c r="G7" s="85">
        <v>17213.24092546224</v>
      </c>
      <c r="H7" s="85">
        <v>18052.013491583126</v>
      </c>
      <c r="I7" s="85">
        <v>18690.297633790899</v>
      </c>
      <c r="J7" s="85">
        <v>19094.170540806284</v>
      </c>
      <c r="K7" s="85">
        <v>19249.290706059412</v>
      </c>
    </row>
    <row r="8" spans="1:11" ht="12.75" customHeight="1" x14ac:dyDescent="0.2">
      <c r="A8" s="54"/>
      <c r="B8" s="54" t="s">
        <v>131</v>
      </c>
      <c r="C8" s="54"/>
      <c r="D8" s="87">
        <v>79</v>
      </c>
      <c r="E8" s="87">
        <v>-1034</v>
      </c>
      <c r="F8" s="87">
        <v>67</v>
      </c>
      <c r="G8" s="85">
        <v>0</v>
      </c>
      <c r="H8" s="85">
        <v>0</v>
      </c>
      <c r="I8" s="85">
        <v>0</v>
      </c>
      <c r="J8" s="85">
        <v>0</v>
      </c>
      <c r="K8" s="85">
        <v>0</v>
      </c>
    </row>
    <row r="9" spans="1:11" ht="12.75" customHeight="1" x14ac:dyDescent="0.2">
      <c r="A9" s="54"/>
      <c r="B9" s="54" t="s">
        <v>26</v>
      </c>
      <c r="C9" s="54"/>
      <c r="D9" s="87">
        <v>7157</v>
      </c>
      <c r="E9" s="87">
        <v>7641</v>
      </c>
      <c r="F9" s="87">
        <v>8130</v>
      </c>
      <c r="G9" s="88">
        <v>8591.6632571428563</v>
      </c>
      <c r="H9" s="88">
        <v>9188.6096771428565</v>
      </c>
      <c r="I9" s="88">
        <v>9809.4339539428565</v>
      </c>
      <c r="J9" s="88">
        <v>10448.882959046856</v>
      </c>
      <c r="K9" s="88">
        <v>11101.120944252936</v>
      </c>
    </row>
    <row r="10" spans="1:11" ht="12.75" customHeight="1" x14ac:dyDescent="0.2">
      <c r="A10" s="54"/>
      <c r="B10" s="54" t="s">
        <v>8</v>
      </c>
      <c r="C10" s="54"/>
      <c r="D10" s="87">
        <v>-504</v>
      </c>
      <c r="E10" s="87">
        <v>651</v>
      </c>
      <c r="F10" s="87">
        <v>1050</v>
      </c>
      <c r="G10" s="88">
        <v>715.93057442185705</v>
      </c>
      <c r="H10" s="88">
        <v>1003.504280285808</v>
      </c>
      <c r="I10" s="88">
        <v>790.98604906752598</v>
      </c>
      <c r="J10" s="88">
        <v>596.3241351168856</v>
      </c>
      <c r="K10" s="88">
        <v>411.42494172131251</v>
      </c>
    </row>
    <row r="11" spans="1:11" ht="12.75" customHeight="1" x14ac:dyDescent="0.2">
      <c r="A11" s="54"/>
      <c r="B11" s="54" t="s">
        <v>49</v>
      </c>
      <c r="C11" s="54"/>
      <c r="D11" s="87">
        <v>318</v>
      </c>
      <c r="E11" s="87">
        <v>1087</v>
      </c>
      <c r="F11" s="87">
        <v>398</v>
      </c>
      <c r="G11" s="88">
        <v>318</v>
      </c>
      <c r="H11" s="88">
        <v>318</v>
      </c>
      <c r="I11" s="88">
        <v>318</v>
      </c>
      <c r="J11" s="88">
        <v>318</v>
      </c>
      <c r="K11" s="88">
        <v>318</v>
      </c>
    </row>
    <row r="12" spans="1:11" ht="12.75" customHeight="1" x14ac:dyDescent="0.2">
      <c r="A12" s="54"/>
      <c r="B12" s="50" t="s">
        <v>108</v>
      </c>
      <c r="C12" s="54"/>
      <c r="D12" s="88"/>
      <c r="E12" s="88"/>
      <c r="F12" s="88"/>
      <c r="G12" s="88"/>
      <c r="H12" s="88"/>
      <c r="I12" s="88"/>
      <c r="J12" s="88"/>
      <c r="K12" s="88"/>
    </row>
    <row r="13" spans="1:11" ht="12.75" customHeight="1" x14ac:dyDescent="0.2">
      <c r="A13" s="54"/>
      <c r="B13" s="54"/>
      <c r="C13" s="54" t="s">
        <v>12</v>
      </c>
      <c r="D13" s="87">
        <v>-297</v>
      </c>
      <c r="E13" s="87">
        <v>-733</v>
      </c>
      <c r="F13" s="87">
        <v>-796</v>
      </c>
      <c r="G13" s="88">
        <v>146.51444444444405</v>
      </c>
      <c r="H13" s="88">
        <v>-289.52427777777848</v>
      </c>
      <c r="I13" s="88">
        <v>-243.20039333333352</v>
      </c>
      <c r="J13" s="88">
        <v>-189.69630679999955</v>
      </c>
      <c r="K13" s="88">
        <v>-130.25813066933461</v>
      </c>
    </row>
    <row r="14" spans="1:11" ht="12.75" customHeight="1" x14ac:dyDescent="0.2">
      <c r="A14" s="54"/>
      <c r="B14" s="54"/>
      <c r="C14" s="54" t="s">
        <v>13</v>
      </c>
      <c r="D14" s="87">
        <v>2213</v>
      </c>
      <c r="E14" s="87">
        <v>-3205</v>
      </c>
      <c r="F14" s="87">
        <v>-3727</v>
      </c>
      <c r="G14" s="88">
        <v>-148.40374999999767</v>
      </c>
      <c r="H14" s="88">
        <v>-2043.120187499997</v>
      </c>
      <c r="I14" s="88">
        <v>-1716.2209575000088</v>
      </c>
      <c r="J14" s="88">
        <v>-1338.6523468500018</v>
      </c>
      <c r="K14" s="88">
        <v>-919.20794483699865</v>
      </c>
    </row>
    <row r="15" spans="1:11" ht="12.75" customHeight="1" x14ac:dyDescent="0.2">
      <c r="A15" s="54"/>
      <c r="B15" s="54"/>
      <c r="C15" s="54" t="s">
        <v>110</v>
      </c>
      <c r="D15" s="87">
        <v>0</v>
      </c>
      <c r="E15" s="87">
        <v>0</v>
      </c>
      <c r="F15" s="87">
        <v>0</v>
      </c>
      <c r="G15" s="88">
        <v>-773.85073000000011</v>
      </c>
      <c r="H15" s="88">
        <v>-122.94253650000019</v>
      </c>
      <c r="I15" s="88">
        <v>-103.27173065999978</v>
      </c>
      <c r="J15" s="88">
        <v>-80.551949914800389</v>
      </c>
      <c r="K15" s="88">
        <v>-55.312338941496364</v>
      </c>
    </row>
    <row r="16" spans="1:11" ht="12.75" customHeight="1" x14ac:dyDescent="0.2">
      <c r="A16" s="54"/>
      <c r="B16" s="54"/>
      <c r="C16" s="54" t="s">
        <v>14</v>
      </c>
      <c r="D16" s="87">
        <v>1052</v>
      </c>
      <c r="E16" s="87">
        <v>2676</v>
      </c>
      <c r="F16" s="87">
        <v>2687</v>
      </c>
      <c r="G16" s="88">
        <v>701.15124999999534</v>
      </c>
      <c r="H16" s="88">
        <v>1865.457562500007</v>
      </c>
      <c r="I16" s="88">
        <v>1566.9843525000033</v>
      </c>
      <c r="J16" s="88">
        <v>1222.2477949500026</v>
      </c>
      <c r="K16" s="88">
        <v>839.27681919899624</v>
      </c>
    </row>
    <row r="17" spans="1:11" ht="12.75" customHeight="1" x14ac:dyDescent="0.2">
      <c r="A17" s="54"/>
      <c r="B17" s="54"/>
      <c r="C17" s="54" t="s">
        <v>50</v>
      </c>
      <c r="D17" s="87">
        <v>1348</v>
      </c>
      <c r="E17" s="87">
        <v>-433</v>
      </c>
      <c r="F17" s="87">
        <v>59</v>
      </c>
      <c r="G17" s="88">
        <v>1425.7372944444433</v>
      </c>
      <c r="H17" s="88">
        <v>978.98686472222471</v>
      </c>
      <c r="I17" s="88">
        <v>822.34896636666599</v>
      </c>
      <c r="J17" s="88">
        <v>641.43219376600246</v>
      </c>
      <c r="K17" s="88">
        <v>440.45010638598615</v>
      </c>
    </row>
    <row r="18" spans="1:11" ht="12.75" customHeight="1" x14ac:dyDescent="0.2">
      <c r="A18" s="54"/>
      <c r="B18" s="54"/>
      <c r="C18" s="54" t="s">
        <v>111</v>
      </c>
      <c r="D18" s="87">
        <v>0</v>
      </c>
      <c r="E18" s="87">
        <v>0</v>
      </c>
      <c r="F18" s="87">
        <v>0</v>
      </c>
      <c r="G18" s="88">
        <v>-459.841425325307</v>
      </c>
      <c r="H18" s="88">
        <v>34.312474750890374</v>
      </c>
      <c r="I18" s="88">
        <v>26.110902285091584</v>
      </c>
      <c r="J18" s="88">
        <v>16.521616805641884</v>
      </c>
      <c r="K18" s="88">
        <v>6.3456495462380644</v>
      </c>
    </row>
    <row r="19" spans="1:11" ht="12.75" customHeight="1" x14ac:dyDescent="0.2">
      <c r="A19" s="54"/>
      <c r="B19" s="54"/>
      <c r="C19" s="50" t="s">
        <v>109</v>
      </c>
      <c r="D19" s="89">
        <f>SUM(D13:D18)</f>
        <v>4316</v>
      </c>
      <c r="E19" s="89">
        <f t="shared" ref="E19:K19" si="0">SUM(E13:E18)</f>
        <v>-1695</v>
      </c>
      <c r="F19" s="89">
        <f t="shared" si="0"/>
        <v>-1777</v>
      </c>
      <c r="G19" s="89">
        <f t="shared" si="0"/>
        <v>891.30708356357786</v>
      </c>
      <c r="H19" s="89">
        <f t="shared" si="0"/>
        <v>423.16990019534649</v>
      </c>
      <c r="I19" s="89">
        <f t="shared" si="0"/>
        <v>352.75113965841877</v>
      </c>
      <c r="J19" s="89">
        <f t="shared" si="0"/>
        <v>271.3010019568452</v>
      </c>
      <c r="K19" s="89">
        <f t="shared" si="0"/>
        <v>181.29416068339083</v>
      </c>
    </row>
    <row r="20" spans="1:11" ht="12.75" customHeight="1" x14ac:dyDescent="0.2">
      <c r="A20" s="54"/>
      <c r="B20" s="50" t="s">
        <v>97</v>
      </c>
      <c r="C20" s="54"/>
      <c r="D20" s="84">
        <f t="shared" ref="D20:K20" si="1">SUM(D7:D11,D19)</f>
        <v>26249</v>
      </c>
      <c r="E20" s="84">
        <f t="shared" si="1"/>
        <v>23643</v>
      </c>
      <c r="F20" s="84">
        <f t="shared" si="1"/>
        <v>24255</v>
      </c>
      <c r="G20" s="84">
        <f t="shared" si="1"/>
        <v>27730.141840590532</v>
      </c>
      <c r="H20" s="84">
        <f t="shared" si="1"/>
        <v>28985.297349207136</v>
      </c>
      <c r="I20" s="84">
        <f t="shared" si="1"/>
        <v>29961.4687764597</v>
      </c>
      <c r="J20" s="84">
        <f t="shared" si="1"/>
        <v>30728.678636926874</v>
      </c>
      <c r="K20" s="84">
        <f t="shared" si="1"/>
        <v>31261.130752717054</v>
      </c>
    </row>
    <row r="21" spans="1:11" ht="21" customHeight="1" collapsed="1" x14ac:dyDescent="0.2">
      <c r="A21" s="50" t="s">
        <v>10</v>
      </c>
      <c r="B21" s="50"/>
      <c r="C21" s="50"/>
      <c r="D21" s="90"/>
      <c r="E21" s="90"/>
      <c r="F21" s="90"/>
      <c r="G21" s="90"/>
      <c r="H21" s="90"/>
      <c r="I21" s="90"/>
      <c r="J21" s="90"/>
      <c r="K21" s="90"/>
    </row>
    <row r="22" spans="1:11" ht="12.75" customHeight="1" x14ac:dyDescent="0.2">
      <c r="A22" s="50"/>
      <c r="B22" s="54" t="s">
        <v>105</v>
      </c>
      <c r="C22" s="54"/>
      <c r="D22" s="86">
        <v>-12184</v>
      </c>
      <c r="E22" s="86">
        <v>-12699</v>
      </c>
      <c r="F22" s="86">
        <v>-13510</v>
      </c>
      <c r="G22" s="85">
        <v>-14213.01</v>
      </c>
      <c r="H22" s="85">
        <v>-14923.6605</v>
      </c>
      <c r="I22" s="85">
        <v>-15520.606920000002</v>
      </c>
      <c r="J22" s="85">
        <v>-15986.225127600001</v>
      </c>
      <c r="K22" s="85">
        <v>-16305.949630152003</v>
      </c>
    </row>
    <row r="23" spans="1:11" ht="12.75" customHeight="1" x14ac:dyDescent="0.2">
      <c r="A23" s="50"/>
      <c r="B23" s="54"/>
      <c r="C23" s="54" t="s">
        <v>107</v>
      </c>
      <c r="D23" s="95">
        <f>-D22/'Income Statement'!D11</f>
        <v>2.9856524988666578E-2</v>
      </c>
      <c r="E23" s="95">
        <f>-E22/'Income Statement'!E11</f>
        <v>3.0103188581696295E-2</v>
      </c>
      <c r="F23" s="95">
        <f>-F22/'Income Statement'!F11</f>
        <v>3.0227094753328111E-2</v>
      </c>
      <c r="G23" s="96">
        <v>0.03</v>
      </c>
      <c r="H23" s="96">
        <v>0.03</v>
      </c>
      <c r="I23" s="96">
        <v>0.03</v>
      </c>
      <c r="J23" s="96">
        <v>0.03</v>
      </c>
      <c r="K23" s="96">
        <v>0.03</v>
      </c>
    </row>
    <row r="24" spans="1:11" ht="12.75" customHeight="1" x14ac:dyDescent="0.2">
      <c r="A24" s="50"/>
      <c r="B24" s="54" t="s">
        <v>98</v>
      </c>
      <c r="C24" s="54"/>
      <c r="D24" s="87">
        <v>1002</v>
      </c>
      <c r="E24" s="87">
        <v>489</v>
      </c>
      <c r="F24" s="87">
        <v>580</v>
      </c>
      <c r="G24" s="87">
        <v>0</v>
      </c>
      <c r="H24" s="87">
        <v>0</v>
      </c>
      <c r="I24" s="87">
        <v>0</v>
      </c>
      <c r="J24" s="87">
        <v>0</v>
      </c>
      <c r="K24" s="87">
        <v>0</v>
      </c>
    </row>
    <row r="25" spans="1:11" ht="12.75" customHeight="1" x14ac:dyDescent="0.2">
      <c r="A25" s="50"/>
      <c r="B25" s="54" t="s">
        <v>99</v>
      </c>
      <c r="C25" s="54"/>
      <c r="D25" s="87">
        <v>0</v>
      </c>
      <c r="E25" s="87">
        <v>-202</v>
      </c>
      <c r="F25" s="87">
        <v>-3548</v>
      </c>
      <c r="G25" s="87">
        <v>0</v>
      </c>
      <c r="H25" s="87">
        <v>0</v>
      </c>
      <c r="I25" s="87">
        <v>0</v>
      </c>
      <c r="J25" s="87">
        <v>0</v>
      </c>
      <c r="K25" s="87">
        <v>0</v>
      </c>
    </row>
    <row r="26" spans="1:11" ht="12.75" customHeight="1" x14ac:dyDescent="0.2">
      <c r="A26" s="50"/>
      <c r="B26" s="54" t="s">
        <v>100</v>
      </c>
      <c r="C26" s="54"/>
      <c r="D26" s="91">
        <v>-438</v>
      </c>
      <c r="E26" s="91">
        <v>219</v>
      </c>
      <c r="F26" s="91">
        <v>-131</v>
      </c>
      <c r="G26" s="94">
        <v>-438</v>
      </c>
      <c r="H26" s="94">
        <v>219</v>
      </c>
      <c r="I26" s="94">
        <v>-131</v>
      </c>
      <c r="J26" s="94">
        <v>-438</v>
      </c>
      <c r="K26" s="94">
        <v>219</v>
      </c>
    </row>
    <row r="27" spans="1:11" ht="12.75" customHeight="1" x14ac:dyDescent="0.2">
      <c r="A27" s="54"/>
      <c r="B27" s="50" t="s">
        <v>101</v>
      </c>
      <c r="C27" s="54"/>
      <c r="D27" s="84">
        <f t="shared" ref="D27:K27" si="2">D22+SUM(D24:D26)</f>
        <v>-11620</v>
      </c>
      <c r="E27" s="84">
        <f t="shared" si="2"/>
        <v>-12193</v>
      </c>
      <c r="F27" s="84">
        <f t="shared" si="2"/>
        <v>-16609</v>
      </c>
      <c r="G27" s="84">
        <f t="shared" si="2"/>
        <v>-14651.01</v>
      </c>
      <c r="H27" s="84">
        <f t="shared" si="2"/>
        <v>-14704.6605</v>
      </c>
      <c r="I27" s="84">
        <f t="shared" si="2"/>
        <v>-15651.606920000002</v>
      </c>
      <c r="J27" s="84">
        <f t="shared" si="2"/>
        <v>-16424.225127600002</v>
      </c>
      <c r="K27" s="84">
        <f t="shared" si="2"/>
        <v>-16086.949630152003</v>
      </c>
    </row>
    <row r="28" spans="1:11" ht="21" customHeight="1" x14ac:dyDescent="0.2">
      <c r="A28" s="50" t="s">
        <v>11</v>
      </c>
      <c r="B28" s="50"/>
      <c r="C28" s="50"/>
      <c r="D28" s="90"/>
      <c r="E28" s="90"/>
      <c r="F28" s="90"/>
      <c r="G28" s="90"/>
      <c r="H28" s="90"/>
      <c r="I28" s="90"/>
      <c r="J28" s="90"/>
      <c r="K28" s="90"/>
    </row>
    <row r="29" spans="1:11" ht="12.75" customHeight="1" x14ac:dyDescent="0.2">
      <c r="A29" s="54"/>
      <c r="B29" s="54" t="s">
        <v>17</v>
      </c>
      <c r="C29" s="54"/>
      <c r="D29" s="87">
        <v>-1033</v>
      </c>
      <c r="E29" s="87">
        <v>503</v>
      </c>
      <c r="F29" s="87">
        <v>3019</v>
      </c>
      <c r="G29" s="88">
        <v>0</v>
      </c>
      <c r="H29" s="88">
        <v>0</v>
      </c>
      <c r="I29" s="88">
        <v>0</v>
      </c>
      <c r="J29" s="88">
        <v>0</v>
      </c>
      <c r="K29" s="88">
        <v>0</v>
      </c>
    </row>
    <row r="30" spans="1:11" ht="12.75" customHeight="1" x14ac:dyDescent="0.2">
      <c r="A30" s="54"/>
      <c r="B30" s="54" t="s">
        <v>18</v>
      </c>
      <c r="C30" s="54"/>
      <c r="D30" s="87">
        <f>5546-6033</f>
        <v>-487</v>
      </c>
      <c r="E30" s="87">
        <f>11396-4080</f>
        <v>7316</v>
      </c>
      <c r="F30" s="87">
        <f>5050-4584</f>
        <v>466</v>
      </c>
      <c r="G30" s="88">
        <v>0</v>
      </c>
      <c r="H30" s="88">
        <v>0</v>
      </c>
      <c r="I30" s="88">
        <v>0</v>
      </c>
      <c r="J30" s="88">
        <v>0</v>
      </c>
      <c r="K30" s="88">
        <v>0</v>
      </c>
    </row>
    <row r="31" spans="1:11" ht="12.75" customHeight="1" x14ac:dyDescent="0.2">
      <c r="A31" s="54"/>
      <c r="B31" s="54" t="s">
        <v>81</v>
      </c>
      <c r="C31" s="54"/>
      <c r="D31" s="87">
        <v>0</v>
      </c>
      <c r="E31" s="87">
        <v>0</v>
      </c>
      <c r="F31" s="87">
        <v>0</v>
      </c>
      <c r="G31" s="88">
        <v>0</v>
      </c>
      <c r="H31" s="88">
        <v>0</v>
      </c>
      <c r="I31" s="88">
        <v>0</v>
      </c>
      <c r="J31" s="88">
        <v>0</v>
      </c>
      <c r="K31" s="88">
        <v>0</v>
      </c>
    </row>
    <row r="32" spans="1:11" ht="12.75" customHeight="1" x14ac:dyDescent="0.2">
      <c r="A32" s="54"/>
      <c r="B32" s="54" t="s">
        <v>82</v>
      </c>
      <c r="C32" s="54"/>
      <c r="D32" s="87">
        <v>0</v>
      </c>
      <c r="E32" s="87">
        <v>0</v>
      </c>
      <c r="F32" s="87">
        <v>0</v>
      </c>
      <c r="G32" s="88">
        <v>0</v>
      </c>
      <c r="H32" s="88">
        <v>0</v>
      </c>
      <c r="I32" s="88">
        <v>0</v>
      </c>
      <c r="J32" s="88">
        <v>0</v>
      </c>
      <c r="K32" s="88">
        <v>0</v>
      </c>
    </row>
    <row r="33" spans="1:11" ht="12.75" customHeight="1" x14ac:dyDescent="0.2">
      <c r="A33" s="54"/>
      <c r="B33" s="54" t="s">
        <v>102</v>
      </c>
      <c r="C33" s="54"/>
      <c r="D33" s="87">
        <v>-4217</v>
      </c>
      <c r="E33" s="87">
        <v>-4437</v>
      </c>
      <c r="F33" s="87">
        <v>-5048</v>
      </c>
      <c r="G33" s="88">
        <v>-5344.696448130001</v>
      </c>
      <c r="H33" s="88">
        <v>-5187.2864481300003</v>
      </c>
      <c r="I33" s="88">
        <v>-5029.8764481300004</v>
      </c>
      <c r="J33" s="88">
        <v>-4872.4664481300006</v>
      </c>
      <c r="K33" s="88">
        <v>-4715.0564481300007</v>
      </c>
    </row>
    <row r="34" spans="1:11" ht="12.75" customHeight="1" x14ac:dyDescent="0.2">
      <c r="A34" s="54"/>
      <c r="B34" s="54"/>
      <c r="C34" s="68" t="s">
        <v>106</v>
      </c>
      <c r="D34" s="87"/>
      <c r="E34" s="87"/>
      <c r="F34" s="87"/>
      <c r="G34" s="93">
        <v>1.59</v>
      </c>
      <c r="H34" s="93">
        <v>1.59</v>
      </c>
      <c r="I34" s="93">
        <v>1.59</v>
      </c>
      <c r="J34" s="93">
        <v>1.59</v>
      </c>
      <c r="K34" s="93">
        <v>1.59</v>
      </c>
    </row>
    <row r="35" spans="1:11" ht="12.75" customHeight="1" x14ac:dyDescent="0.2">
      <c r="A35" s="54"/>
      <c r="B35" s="54" t="s">
        <v>103</v>
      </c>
      <c r="C35" s="54"/>
      <c r="D35" s="87">
        <v>-7276</v>
      </c>
      <c r="E35" s="87">
        <v>-14776</v>
      </c>
      <c r="F35" s="87">
        <v>-6298</v>
      </c>
      <c r="G35" s="87">
        <v>-7308.18</v>
      </c>
      <c r="H35" s="87">
        <v>-7308.18</v>
      </c>
      <c r="I35" s="87">
        <v>-7308.18</v>
      </c>
      <c r="J35" s="87">
        <v>-7308.18</v>
      </c>
      <c r="K35" s="87">
        <v>-7308.18</v>
      </c>
    </row>
    <row r="36" spans="1:11" ht="12.75" customHeight="1" x14ac:dyDescent="0.2">
      <c r="A36" s="54"/>
      <c r="B36" s="54" t="s">
        <v>51</v>
      </c>
      <c r="C36" s="54"/>
      <c r="D36" s="87">
        <v>-436</v>
      </c>
      <c r="E36" s="87">
        <v>0</v>
      </c>
      <c r="F36" s="87">
        <v>0</v>
      </c>
      <c r="G36" s="87">
        <v>0</v>
      </c>
      <c r="H36" s="87">
        <v>0</v>
      </c>
      <c r="I36" s="87">
        <v>0</v>
      </c>
      <c r="J36" s="87">
        <v>0</v>
      </c>
      <c r="K36" s="87">
        <v>0</v>
      </c>
    </row>
    <row r="37" spans="1:11" ht="12.75" customHeight="1" x14ac:dyDescent="0.2">
      <c r="A37" s="54"/>
      <c r="B37" s="54" t="s">
        <v>52</v>
      </c>
      <c r="C37" s="54"/>
      <c r="D37" s="87">
        <v>-346</v>
      </c>
      <c r="E37" s="87">
        <v>-363</v>
      </c>
      <c r="F37" s="87">
        <v>-355</v>
      </c>
      <c r="G37" s="88">
        <v>0</v>
      </c>
      <c r="H37" s="88">
        <v>0</v>
      </c>
      <c r="I37" s="88">
        <v>0</v>
      </c>
      <c r="J37" s="88">
        <v>0</v>
      </c>
      <c r="K37" s="88">
        <v>0</v>
      </c>
    </row>
    <row r="38" spans="1:11" ht="12.75" customHeight="1" x14ac:dyDescent="0.2">
      <c r="A38" s="54"/>
      <c r="B38" s="54" t="s">
        <v>0</v>
      </c>
      <c r="C38" s="54"/>
      <c r="D38" s="91">
        <v>-396</v>
      </c>
      <c r="E38" s="91">
        <v>-271</v>
      </c>
      <c r="F38" s="91">
        <v>-242</v>
      </c>
      <c r="G38" s="91">
        <v>-242</v>
      </c>
      <c r="H38" s="91">
        <v>-242</v>
      </c>
      <c r="I38" s="91">
        <v>-242</v>
      </c>
      <c r="J38" s="91">
        <v>-242</v>
      </c>
      <c r="K38" s="91">
        <v>-242</v>
      </c>
    </row>
    <row r="39" spans="1:11" ht="12.75" customHeight="1" x14ac:dyDescent="0.2">
      <c r="A39" s="54"/>
      <c r="B39" s="50" t="s">
        <v>104</v>
      </c>
      <c r="C39" s="54"/>
      <c r="D39" s="89">
        <f t="shared" ref="D39:K39" si="3">SUM(D29:D33)+SUM(D35:D38)</f>
        <v>-14191</v>
      </c>
      <c r="E39" s="89">
        <f t="shared" si="3"/>
        <v>-12028</v>
      </c>
      <c r="F39" s="89">
        <f t="shared" si="3"/>
        <v>-8458</v>
      </c>
      <c r="G39" s="89">
        <f t="shared" si="3"/>
        <v>-12894.876448130002</v>
      </c>
      <c r="H39" s="89">
        <f t="shared" si="3"/>
        <v>-12737.466448130001</v>
      </c>
      <c r="I39" s="89">
        <f t="shared" si="3"/>
        <v>-12580.056448130001</v>
      </c>
      <c r="J39" s="89">
        <f t="shared" si="3"/>
        <v>-12422.646448130001</v>
      </c>
      <c r="K39" s="89">
        <f t="shared" si="3"/>
        <v>-12265.236448130001</v>
      </c>
    </row>
    <row r="40" spans="1:11" ht="12.75" customHeight="1" x14ac:dyDescent="0.2">
      <c r="A40" s="54"/>
      <c r="B40" s="50"/>
      <c r="C40" s="54" t="s">
        <v>80</v>
      </c>
      <c r="D40" s="87">
        <v>194</v>
      </c>
      <c r="E40" s="87">
        <v>66</v>
      </c>
      <c r="F40" s="87">
        <v>-33</v>
      </c>
      <c r="G40" s="88">
        <f>D40</f>
        <v>194</v>
      </c>
      <c r="H40" s="88">
        <f>E40</f>
        <v>66</v>
      </c>
      <c r="I40" s="88">
        <f>F40</f>
        <v>-33</v>
      </c>
      <c r="J40" s="88">
        <f>G40</f>
        <v>194</v>
      </c>
      <c r="K40" s="88">
        <f>H40</f>
        <v>66</v>
      </c>
    </row>
    <row r="41" spans="1:11" ht="21" customHeight="1" x14ac:dyDescent="0.2">
      <c r="A41" s="50" t="s">
        <v>44</v>
      </c>
      <c r="B41" s="50"/>
      <c r="C41" s="54"/>
      <c r="D41" s="84">
        <f t="shared" ref="D41:K41" si="4">D20+D27+D39+D40</f>
        <v>632</v>
      </c>
      <c r="E41" s="84">
        <f t="shared" si="4"/>
        <v>-512</v>
      </c>
      <c r="F41" s="84">
        <f t="shared" si="4"/>
        <v>-845</v>
      </c>
      <c r="G41" s="84">
        <f t="shared" si="4"/>
        <v>378.25539246052904</v>
      </c>
      <c r="H41" s="84">
        <f t="shared" si="4"/>
        <v>1609.1704010771355</v>
      </c>
      <c r="I41" s="84">
        <f t="shared" si="4"/>
        <v>1696.8054083296975</v>
      </c>
      <c r="J41" s="84">
        <f t="shared" si="4"/>
        <v>2075.8070611968706</v>
      </c>
      <c r="K41" s="84">
        <f t="shared" si="4"/>
        <v>2974.9446744350498</v>
      </c>
    </row>
    <row r="42" spans="1:11" ht="21" customHeight="1" x14ac:dyDescent="0.2">
      <c r="A42" s="50" t="s">
        <v>7</v>
      </c>
      <c r="B42" s="54"/>
      <c r="C42" s="50"/>
      <c r="D42" s="84"/>
      <c r="E42" s="84"/>
      <c r="F42" s="84"/>
      <c r="G42" s="84"/>
      <c r="H42" s="84"/>
      <c r="I42" s="84"/>
      <c r="J42" s="84"/>
      <c r="K42" s="84"/>
    </row>
    <row r="43" spans="1:11" ht="12.75" customHeight="1" x14ac:dyDescent="0.2">
      <c r="A43" s="81"/>
      <c r="B43" s="81" t="s">
        <v>38</v>
      </c>
      <c r="C43" s="81"/>
      <c r="D43" s="92"/>
      <c r="E43" s="92"/>
      <c r="F43" s="92"/>
      <c r="G43" s="92">
        <f>G20+G27+G33+G35+G36+G38+G40</f>
        <v>378.25539246052995</v>
      </c>
      <c r="H43" s="92">
        <f>H20+H27+H33+H35+H36+H38+H40</f>
        <v>1609.1704010771355</v>
      </c>
      <c r="I43" s="92">
        <f>I20+I27+I33+I35+I36+I38+I40</f>
        <v>1696.8054083296975</v>
      </c>
      <c r="J43" s="92">
        <f>J20+J27+J33+J35+J36+J38+J40</f>
        <v>2075.8070611968706</v>
      </c>
      <c r="K43" s="92">
        <f>K20+K27+K33+K35+K36+K38+K40</f>
        <v>2974.9446744350498</v>
      </c>
    </row>
    <row r="44" spans="1:11" ht="12.75" customHeight="1" x14ac:dyDescent="0.2"/>
    <row r="45" spans="1:11" ht="12.75" customHeight="1" x14ac:dyDescent="0.2"/>
    <row r="46" spans="1:11" ht="12.75" customHeight="1" x14ac:dyDescent="0.2"/>
    <row r="47" spans="1:11" ht="12.75" customHeight="1" x14ac:dyDescent="0.2"/>
    <row r="48" spans="1:11" ht="12.75" customHeight="1" x14ac:dyDescent="0.2"/>
    <row r="49" ht="12.75" customHeight="1" x14ac:dyDescent="0.2"/>
    <row r="50" ht="12.75" customHeight="1" x14ac:dyDescent="0.2"/>
    <row r="51" ht="12.75" customHeight="1" x14ac:dyDescent="0.2"/>
  </sheetData>
  <phoneticPr fontId="9" type="noConversion"/>
  <pageMargins left="0.75" right="0.75" top="1" bottom="1" header="0.5" footer="0.5"/>
  <pageSetup scale="83" orientation="landscape" r:id="rId1"/>
  <headerFooter alignWithMargins="0">
    <oddFooter>&amp;LThe Analyst Exchange&amp;8On - Line Trainingwww.theanalystexchange.com&amp;R&amp;F, &amp;A&amp;P of &amp;N</oddFooter>
  </headerFooter>
  <ignoredErrors>
    <ignoredError sqref="G5"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tabSelected="1" zoomScale="130" zoomScaleNormal="130" workbookViewId="0">
      <selection activeCell="E9" sqref="E9:G9"/>
    </sheetView>
  </sheetViews>
  <sheetFormatPr defaultRowHeight="15" x14ac:dyDescent="0.25"/>
  <cols>
    <col min="1" max="1" width="33.140625" style="261" bestFit="1" customWidth="1"/>
    <col min="2" max="2" width="19.28515625" style="261" bestFit="1" customWidth="1"/>
    <col min="3" max="3" width="9.140625" style="261"/>
    <col min="4" max="4" width="20.85546875" style="261" customWidth="1"/>
    <col min="5" max="5" width="14.140625" style="261" customWidth="1"/>
    <col min="6" max="6" width="15.140625" style="261" customWidth="1"/>
    <col min="7" max="7" width="16.42578125" style="261" customWidth="1"/>
    <col min="8" max="12" width="9.140625" style="261"/>
    <col min="13" max="13" width="14.140625" style="261" customWidth="1"/>
    <col min="14" max="256" width="9.140625" style="261"/>
    <col min="257" max="257" width="26.140625" style="261" customWidth="1"/>
    <col min="258" max="258" width="16.28515625" style="261" customWidth="1"/>
    <col min="259" max="259" width="9.140625" style="261"/>
    <col min="260" max="260" width="20.85546875" style="261" customWidth="1"/>
    <col min="261" max="261" width="10.140625" style="261" customWidth="1"/>
    <col min="262" max="512" width="9.140625" style="261"/>
    <col min="513" max="513" width="26.140625" style="261" customWidth="1"/>
    <col min="514" max="514" width="16.28515625" style="261" customWidth="1"/>
    <col min="515" max="515" width="9.140625" style="261"/>
    <col min="516" max="516" width="20.85546875" style="261" customWidth="1"/>
    <col min="517" max="517" width="10.140625" style="261" customWidth="1"/>
    <col min="518" max="768" width="9.140625" style="261"/>
    <col min="769" max="769" width="26.140625" style="261" customWidth="1"/>
    <col min="770" max="770" width="16.28515625" style="261" customWidth="1"/>
    <col min="771" max="771" width="9.140625" style="261"/>
    <col min="772" max="772" width="20.85546875" style="261" customWidth="1"/>
    <col min="773" max="773" width="10.140625" style="261" customWidth="1"/>
    <col min="774" max="1024" width="9.140625" style="261"/>
    <col min="1025" max="1025" width="26.140625" style="261" customWidth="1"/>
    <col min="1026" max="1026" width="16.28515625" style="261" customWidth="1"/>
    <col min="1027" max="1027" width="9.140625" style="261"/>
    <col min="1028" max="1028" width="20.85546875" style="261" customWidth="1"/>
    <col min="1029" max="1029" width="10.140625" style="261" customWidth="1"/>
    <col min="1030" max="1280" width="9.140625" style="261"/>
    <col min="1281" max="1281" width="26.140625" style="261" customWidth="1"/>
    <col min="1282" max="1282" width="16.28515625" style="261" customWidth="1"/>
    <col min="1283" max="1283" width="9.140625" style="261"/>
    <col min="1284" max="1284" width="20.85546875" style="261" customWidth="1"/>
    <col min="1285" max="1285" width="10.140625" style="261" customWidth="1"/>
    <col min="1286" max="1536" width="9.140625" style="261"/>
    <col min="1537" max="1537" width="26.140625" style="261" customWidth="1"/>
    <col min="1538" max="1538" width="16.28515625" style="261" customWidth="1"/>
    <col min="1539" max="1539" width="9.140625" style="261"/>
    <col min="1540" max="1540" width="20.85546875" style="261" customWidth="1"/>
    <col min="1541" max="1541" width="10.140625" style="261" customWidth="1"/>
    <col min="1542" max="1792" width="9.140625" style="261"/>
    <col min="1793" max="1793" width="26.140625" style="261" customWidth="1"/>
    <col min="1794" max="1794" width="16.28515625" style="261" customWidth="1"/>
    <col min="1795" max="1795" width="9.140625" style="261"/>
    <col min="1796" max="1796" width="20.85546875" style="261" customWidth="1"/>
    <col min="1797" max="1797" width="10.140625" style="261" customWidth="1"/>
    <col min="1798" max="2048" width="9.140625" style="261"/>
    <col min="2049" max="2049" width="26.140625" style="261" customWidth="1"/>
    <col min="2050" max="2050" width="16.28515625" style="261" customWidth="1"/>
    <col min="2051" max="2051" width="9.140625" style="261"/>
    <col min="2052" max="2052" width="20.85546875" style="261" customWidth="1"/>
    <col min="2053" max="2053" width="10.140625" style="261" customWidth="1"/>
    <col min="2054" max="2304" width="9.140625" style="261"/>
    <col min="2305" max="2305" width="26.140625" style="261" customWidth="1"/>
    <col min="2306" max="2306" width="16.28515625" style="261" customWidth="1"/>
    <col min="2307" max="2307" width="9.140625" style="261"/>
    <col min="2308" max="2308" width="20.85546875" style="261" customWidth="1"/>
    <col min="2309" max="2309" width="10.140625" style="261" customWidth="1"/>
    <col min="2310" max="2560" width="9.140625" style="261"/>
    <col min="2561" max="2561" width="26.140625" style="261" customWidth="1"/>
    <col min="2562" max="2562" width="16.28515625" style="261" customWidth="1"/>
    <col min="2563" max="2563" width="9.140625" style="261"/>
    <col min="2564" max="2564" width="20.85546875" style="261" customWidth="1"/>
    <col min="2565" max="2565" width="10.140625" style="261" customWidth="1"/>
    <col min="2566" max="2816" width="9.140625" style="261"/>
    <col min="2817" max="2817" width="26.140625" style="261" customWidth="1"/>
    <col min="2818" max="2818" width="16.28515625" style="261" customWidth="1"/>
    <col min="2819" max="2819" width="9.140625" style="261"/>
    <col min="2820" max="2820" width="20.85546875" style="261" customWidth="1"/>
    <col min="2821" max="2821" width="10.140625" style="261" customWidth="1"/>
    <col min="2822" max="3072" width="9.140625" style="261"/>
    <col min="3073" max="3073" width="26.140625" style="261" customWidth="1"/>
    <col min="3074" max="3074" width="16.28515625" style="261" customWidth="1"/>
    <col min="3075" max="3075" width="9.140625" style="261"/>
    <col min="3076" max="3076" width="20.85546875" style="261" customWidth="1"/>
    <col min="3077" max="3077" width="10.140625" style="261" customWidth="1"/>
    <col min="3078" max="3328" width="9.140625" style="261"/>
    <col min="3329" max="3329" width="26.140625" style="261" customWidth="1"/>
    <col min="3330" max="3330" width="16.28515625" style="261" customWidth="1"/>
    <col min="3331" max="3331" width="9.140625" style="261"/>
    <col min="3332" max="3332" width="20.85546875" style="261" customWidth="1"/>
    <col min="3333" max="3333" width="10.140625" style="261" customWidth="1"/>
    <col min="3334" max="3584" width="9.140625" style="261"/>
    <col min="3585" max="3585" width="26.140625" style="261" customWidth="1"/>
    <col min="3586" max="3586" width="16.28515625" style="261" customWidth="1"/>
    <col min="3587" max="3587" width="9.140625" style="261"/>
    <col min="3588" max="3588" width="20.85546875" style="261" customWidth="1"/>
    <col min="3589" max="3589" width="10.140625" style="261" customWidth="1"/>
    <col min="3590" max="3840" width="9.140625" style="261"/>
    <col min="3841" max="3841" width="26.140625" style="261" customWidth="1"/>
    <col min="3842" max="3842" width="16.28515625" style="261" customWidth="1"/>
    <col min="3843" max="3843" width="9.140625" style="261"/>
    <col min="3844" max="3844" width="20.85546875" style="261" customWidth="1"/>
    <col min="3845" max="3845" width="10.140625" style="261" customWidth="1"/>
    <col min="3846" max="4096" width="9.140625" style="261"/>
    <col min="4097" max="4097" width="26.140625" style="261" customWidth="1"/>
    <col min="4098" max="4098" width="16.28515625" style="261" customWidth="1"/>
    <col min="4099" max="4099" width="9.140625" style="261"/>
    <col min="4100" max="4100" width="20.85546875" style="261" customWidth="1"/>
    <col min="4101" max="4101" width="10.140625" style="261" customWidth="1"/>
    <col min="4102" max="4352" width="9.140625" style="261"/>
    <col min="4353" max="4353" width="26.140625" style="261" customWidth="1"/>
    <col min="4354" max="4354" width="16.28515625" style="261" customWidth="1"/>
    <col min="4355" max="4355" width="9.140625" style="261"/>
    <col min="4356" max="4356" width="20.85546875" style="261" customWidth="1"/>
    <col min="4357" max="4357" width="10.140625" style="261" customWidth="1"/>
    <col min="4358" max="4608" width="9.140625" style="261"/>
    <col min="4609" max="4609" width="26.140625" style="261" customWidth="1"/>
    <col min="4610" max="4610" width="16.28515625" style="261" customWidth="1"/>
    <col min="4611" max="4611" width="9.140625" style="261"/>
    <col min="4612" max="4612" width="20.85546875" style="261" customWidth="1"/>
    <col min="4613" max="4613" width="10.140625" style="261" customWidth="1"/>
    <col min="4614" max="4864" width="9.140625" style="261"/>
    <col min="4865" max="4865" width="26.140625" style="261" customWidth="1"/>
    <col min="4866" max="4866" width="16.28515625" style="261" customWidth="1"/>
    <col min="4867" max="4867" width="9.140625" style="261"/>
    <col min="4868" max="4868" width="20.85546875" style="261" customWidth="1"/>
    <col min="4869" max="4869" width="10.140625" style="261" customWidth="1"/>
    <col min="4870" max="5120" width="9.140625" style="261"/>
    <col min="5121" max="5121" width="26.140625" style="261" customWidth="1"/>
    <col min="5122" max="5122" width="16.28515625" style="261" customWidth="1"/>
    <col min="5123" max="5123" width="9.140625" style="261"/>
    <col min="5124" max="5124" width="20.85546875" style="261" customWidth="1"/>
    <col min="5125" max="5125" width="10.140625" style="261" customWidth="1"/>
    <col min="5126" max="5376" width="9.140625" style="261"/>
    <col min="5377" max="5377" width="26.140625" style="261" customWidth="1"/>
    <col min="5378" max="5378" width="16.28515625" style="261" customWidth="1"/>
    <col min="5379" max="5379" width="9.140625" style="261"/>
    <col min="5380" max="5380" width="20.85546875" style="261" customWidth="1"/>
    <col min="5381" max="5381" width="10.140625" style="261" customWidth="1"/>
    <col min="5382" max="5632" width="9.140625" style="261"/>
    <col min="5633" max="5633" width="26.140625" style="261" customWidth="1"/>
    <col min="5634" max="5634" width="16.28515625" style="261" customWidth="1"/>
    <col min="5635" max="5635" width="9.140625" style="261"/>
    <col min="5636" max="5636" width="20.85546875" style="261" customWidth="1"/>
    <col min="5637" max="5637" width="10.140625" style="261" customWidth="1"/>
    <col min="5638" max="5888" width="9.140625" style="261"/>
    <col min="5889" max="5889" width="26.140625" style="261" customWidth="1"/>
    <col min="5890" max="5890" width="16.28515625" style="261" customWidth="1"/>
    <col min="5891" max="5891" width="9.140625" style="261"/>
    <col min="5892" max="5892" width="20.85546875" style="261" customWidth="1"/>
    <col min="5893" max="5893" width="10.140625" style="261" customWidth="1"/>
    <col min="5894" max="6144" width="9.140625" style="261"/>
    <col min="6145" max="6145" width="26.140625" style="261" customWidth="1"/>
    <col min="6146" max="6146" width="16.28515625" style="261" customWidth="1"/>
    <col min="6147" max="6147" width="9.140625" style="261"/>
    <col min="6148" max="6148" width="20.85546875" style="261" customWidth="1"/>
    <col min="6149" max="6149" width="10.140625" style="261" customWidth="1"/>
    <col min="6150" max="6400" width="9.140625" style="261"/>
    <col min="6401" max="6401" width="26.140625" style="261" customWidth="1"/>
    <col min="6402" max="6402" width="16.28515625" style="261" customWidth="1"/>
    <col min="6403" max="6403" width="9.140625" style="261"/>
    <col min="6404" max="6404" width="20.85546875" style="261" customWidth="1"/>
    <col min="6405" max="6405" width="10.140625" style="261" customWidth="1"/>
    <col min="6406" max="6656" width="9.140625" style="261"/>
    <col min="6657" max="6657" width="26.140625" style="261" customWidth="1"/>
    <col min="6658" max="6658" width="16.28515625" style="261" customWidth="1"/>
    <col min="6659" max="6659" width="9.140625" style="261"/>
    <col min="6660" max="6660" width="20.85546875" style="261" customWidth="1"/>
    <col min="6661" max="6661" width="10.140625" style="261" customWidth="1"/>
    <col min="6662" max="6912" width="9.140625" style="261"/>
    <col min="6913" max="6913" width="26.140625" style="261" customWidth="1"/>
    <col min="6914" max="6914" width="16.28515625" style="261" customWidth="1"/>
    <col min="6915" max="6915" width="9.140625" style="261"/>
    <col min="6916" max="6916" width="20.85546875" style="261" customWidth="1"/>
    <col min="6917" max="6917" width="10.140625" style="261" customWidth="1"/>
    <col min="6918" max="7168" width="9.140625" style="261"/>
    <col min="7169" max="7169" width="26.140625" style="261" customWidth="1"/>
    <col min="7170" max="7170" width="16.28515625" style="261" customWidth="1"/>
    <col min="7171" max="7171" width="9.140625" style="261"/>
    <col min="7172" max="7172" width="20.85546875" style="261" customWidth="1"/>
    <col min="7173" max="7173" width="10.140625" style="261" customWidth="1"/>
    <col min="7174" max="7424" width="9.140625" style="261"/>
    <col min="7425" max="7425" width="26.140625" style="261" customWidth="1"/>
    <col min="7426" max="7426" width="16.28515625" style="261" customWidth="1"/>
    <col min="7427" max="7427" width="9.140625" style="261"/>
    <col min="7428" max="7428" width="20.85546875" style="261" customWidth="1"/>
    <col min="7429" max="7429" width="10.140625" style="261" customWidth="1"/>
    <col min="7430" max="7680" width="9.140625" style="261"/>
    <col min="7681" max="7681" width="26.140625" style="261" customWidth="1"/>
    <col min="7682" max="7682" width="16.28515625" style="261" customWidth="1"/>
    <col min="7683" max="7683" width="9.140625" style="261"/>
    <col min="7684" max="7684" width="20.85546875" style="261" customWidth="1"/>
    <col min="7685" max="7685" width="10.140625" style="261" customWidth="1"/>
    <col min="7686" max="7936" width="9.140625" style="261"/>
    <col min="7937" max="7937" width="26.140625" style="261" customWidth="1"/>
    <col min="7938" max="7938" width="16.28515625" style="261" customWidth="1"/>
    <col min="7939" max="7939" width="9.140625" style="261"/>
    <col min="7940" max="7940" width="20.85546875" style="261" customWidth="1"/>
    <col min="7941" max="7941" width="10.140625" style="261" customWidth="1"/>
    <col min="7942" max="8192" width="9.140625" style="261"/>
    <col min="8193" max="8193" width="26.140625" style="261" customWidth="1"/>
    <col min="8194" max="8194" width="16.28515625" style="261" customWidth="1"/>
    <col min="8195" max="8195" width="9.140625" style="261"/>
    <col min="8196" max="8196" width="20.85546875" style="261" customWidth="1"/>
    <col min="8197" max="8197" width="10.140625" style="261" customWidth="1"/>
    <col min="8198" max="8448" width="9.140625" style="261"/>
    <col min="8449" max="8449" width="26.140625" style="261" customWidth="1"/>
    <col min="8450" max="8450" width="16.28515625" style="261" customWidth="1"/>
    <col min="8451" max="8451" width="9.140625" style="261"/>
    <col min="8452" max="8452" width="20.85546875" style="261" customWidth="1"/>
    <col min="8453" max="8453" width="10.140625" style="261" customWidth="1"/>
    <col min="8454" max="8704" width="9.140625" style="261"/>
    <col min="8705" max="8705" width="26.140625" style="261" customWidth="1"/>
    <col min="8706" max="8706" width="16.28515625" style="261" customWidth="1"/>
    <col min="8707" max="8707" width="9.140625" style="261"/>
    <col min="8708" max="8708" width="20.85546875" style="261" customWidth="1"/>
    <col min="8709" max="8709" width="10.140625" style="261" customWidth="1"/>
    <col min="8710" max="8960" width="9.140625" style="261"/>
    <col min="8961" max="8961" width="26.140625" style="261" customWidth="1"/>
    <col min="8962" max="8962" width="16.28515625" style="261" customWidth="1"/>
    <col min="8963" max="8963" width="9.140625" style="261"/>
    <col min="8964" max="8964" width="20.85546875" style="261" customWidth="1"/>
    <col min="8965" max="8965" width="10.140625" style="261" customWidth="1"/>
    <col min="8966" max="9216" width="9.140625" style="261"/>
    <col min="9217" max="9217" width="26.140625" style="261" customWidth="1"/>
    <col min="9218" max="9218" width="16.28515625" style="261" customWidth="1"/>
    <col min="9219" max="9219" width="9.140625" style="261"/>
    <col min="9220" max="9220" width="20.85546875" style="261" customWidth="1"/>
    <col min="9221" max="9221" width="10.140625" style="261" customWidth="1"/>
    <col min="9222" max="9472" width="9.140625" style="261"/>
    <col min="9473" max="9473" width="26.140625" style="261" customWidth="1"/>
    <col min="9474" max="9474" width="16.28515625" style="261" customWidth="1"/>
    <col min="9475" max="9475" width="9.140625" style="261"/>
    <col min="9476" max="9476" width="20.85546875" style="261" customWidth="1"/>
    <col min="9477" max="9477" width="10.140625" style="261" customWidth="1"/>
    <col min="9478" max="9728" width="9.140625" style="261"/>
    <col min="9729" max="9729" width="26.140625" style="261" customWidth="1"/>
    <col min="9730" max="9730" width="16.28515625" style="261" customWidth="1"/>
    <col min="9731" max="9731" width="9.140625" style="261"/>
    <col min="9732" max="9732" width="20.85546875" style="261" customWidth="1"/>
    <col min="9733" max="9733" width="10.140625" style="261" customWidth="1"/>
    <col min="9734" max="9984" width="9.140625" style="261"/>
    <col min="9985" max="9985" width="26.140625" style="261" customWidth="1"/>
    <col min="9986" max="9986" width="16.28515625" style="261" customWidth="1"/>
    <col min="9987" max="9987" width="9.140625" style="261"/>
    <col min="9988" max="9988" width="20.85546875" style="261" customWidth="1"/>
    <col min="9989" max="9989" width="10.140625" style="261" customWidth="1"/>
    <col min="9990" max="10240" width="9.140625" style="261"/>
    <col min="10241" max="10241" width="26.140625" style="261" customWidth="1"/>
    <col min="10242" max="10242" width="16.28515625" style="261" customWidth="1"/>
    <col min="10243" max="10243" width="9.140625" style="261"/>
    <col min="10244" max="10244" width="20.85546875" style="261" customWidth="1"/>
    <col min="10245" max="10245" width="10.140625" style="261" customWidth="1"/>
    <col min="10246" max="10496" width="9.140625" style="261"/>
    <col min="10497" max="10497" width="26.140625" style="261" customWidth="1"/>
    <col min="10498" max="10498" width="16.28515625" style="261" customWidth="1"/>
    <col min="10499" max="10499" width="9.140625" style="261"/>
    <col min="10500" max="10500" width="20.85546875" style="261" customWidth="1"/>
    <col min="10501" max="10501" width="10.140625" style="261" customWidth="1"/>
    <col min="10502" max="10752" width="9.140625" style="261"/>
    <col min="10753" max="10753" width="26.140625" style="261" customWidth="1"/>
    <col min="10754" max="10754" width="16.28515625" style="261" customWidth="1"/>
    <col min="10755" max="10755" width="9.140625" style="261"/>
    <col min="10756" max="10756" width="20.85546875" style="261" customWidth="1"/>
    <col min="10757" max="10757" width="10.140625" style="261" customWidth="1"/>
    <col min="10758" max="11008" width="9.140625" style="261"/>
    <col min="11009" max="11009" width="26.140625" style="261" customWidth="1"/>
    <col min="11010" max="11010" width="16.28515625" style="261" customWidth="1"/>
    <col min="11011" max="11011" width="9.140625" style="261"/>
    <col min="11012" max="11012" width="20.85546875" style="261" customWidth="1"/>
    <col min="11013" max="11013" width="10.140625" style="261" customWidth="1"/>
    <col min="11014" max="11264" width="9.140625" style="261"/>
    <col min="11265" max="11265" width="26.140625" style="261" customWidth="1"/>
    <col min="11266" max="11266" width="16.28515625" style="261" customWidth="1"/>
    <col min="11267" max="11267" width="9.140625" style="261"/>
    <col min="11268" max="11268" width="20.85546875" style="261" customWidth="1"/>
    <col min="11269" max="11269" width="10.140625" style="261" customWidth="1"/>
    <col min="11270" max="11520" width="9.140625" style="261"/>
    <col min="11521" max="11521" width="26.140625" style="261" customWidth="1"/>
    <col min="11522" max="11522" width="16.28515625" style="261" customWidth="1"/>
    <col min="11523" max="11523" width="9.140625" style="261"/>
    <col min="11524" max="11524" width="20.85546875" style="261" customWidth="1"/>
    <col min="11525" max="11525" width="10.140625" style="261" customWidth="1"/>
    <col min="11526" max="11776" width="9.140625" style="261"/>
    <col min="11777" max="11777" width="26.140625" style="261" customWidth="1"/>
    <col min="11778" max="11778" width="16.28515625" style="261" customWidth="1"/>
    <col min="11779" max="11779" width="9.140625" style="261"/>
    <col min="11780" max="11780" width="20.85546875" style="261" customWidth="1"/>
    <col min="11781" max="11781" width="10.140625" style="261" customWidth="1"/>
    <col min="11782" max="12032" width="9.140625" style="261"/>
    <col min="12033" max="12033" width="26.140625" style="261" customWidth="1"/>
    <col min="12034" max="12034" width="16.28515625" style="261" customWidth="1"/>
    <col min="12035" max="12035" width="9.140625" style="261"/>
    <col min="12036" max="12036" width="20.85546875" style="261" customWidth="1"/>
    <col min="12037" max="12037" width="10.140625" style="261" customWidth="1"/>
    <col min="12038" max="12288" width="9.140625" style="261"/>
    <col min="12289" max="12289" width="26.140625" style="261" customWidth="1"/>
    <col min="12290" max="12290" width="16.28515625" style="261" customWidth="1"/>
    <col min="12291" max="12291" width="9.140625" style="261"/>
    <col min="12292" max="12292" width="20.85546875" style="261" customWidth="1"/>
    <col min="12293" max="12293" width="10.140625" style="261" customWidth="1"/>
    <col min="12294" max="12544" width="9.140625" style="261"/>
    <col min="12545" max="12545" width="26.140625" style="261" customWidth="1"/>
    <col min="12546" max="12546" width="16.28515625" style="261" customWidth="1"/>
    <col min="12547" max="12547" width="9.140625" style="261"/>
    <col min="12548" max="12548" width="20.85546875" style="261" customWidth="1"/>
    <col min="12549" max="12549" width="10.140625" style="261" customWidth="1"/>
    <col min="12550" max="12800" width="9.140625" style="261"/>
    <col min="12801" max="12801" width="26.140625" style="261" customWidth="1"/>
    <col min="12802" max="12802" width="16.28515625" style="261" customWidth="1"/>
    <col min="12803" max="12803" width="9.140625" style="261"/>
    <col min="12804" max="12804" width="20.85546875" style="261" customWidth="1"/>
    <col min="12805" max="12805" width="10.140625" style="261" customWidth="1"/>
    <col min="12806" max="13056" width="9.140625" style="261"/>
    <col min="13057" max="13057" width="26.140625" style="261" customWidth="1"/>
    <col min="13058" max="13058" width="16.28515625" style="261" customWidth="1"/>
    <col min="13059" max="13059" width="9.140625" style="261"/>
    <col min="13060" max="13060" width="20.85546875" style="261" customWidth="1"/>
    <col min="13061" max="13061" width="10.140625" style="261" customWidth="1"/>
    <col min="13062" max="13312" width="9.140625" style="261"/>
    <col min="13313" max="13313" width="26.140625" style="261" customWidth="1"/>
    <col min="13314" max="13314" width="16.28515625" style="261" customWidth="1"/>
    <col min="13315" max="13315" width="9.140625" style="261"/>
    <col min="13316" max="13316" width="20.85546875" style="261" customWidth="1"/>
    <col min="13317" max="13317" width="10.140625" style="261" customWidth="1"/>
    <col min="13318" max="13568" width="9.140625" style="261"/>
    <col min="13569" max="13569" width="26.140625" style="261" customWidth="1"/>
    <col min="13570" max="13570" width="16.28515625" style="261" customWidth="1"/>
    <col min="13571" max="13571" width="9.140625" style="261"/>
    <col min="13572" max="13572" width="20.85546875" style="261" customWidth="1"/>
    <col min="13573" max="13573" width="10.140625" style="261" customWidth="1"/>
    <col min="13574" max="13824" width="9.140625" style="261"/>
    <col min="13825" max="13825" width="26.140625" style="261" customWidth="1"/>
    <col min="13826" max="13826" width="16.28515625" style="261" customWidth="1"/>
    <col min="13827" max="13827" width="9.140625" style="261"/>
    <col min="13828" max="13828" width="20.85546875" style="261" customWidth="1"/>
    <col min="13829" max="13829" width="10.140625" style="261" customWidth="1"/>
    <col min="13830" max="14080" width="9.140625" style="261"/>
    <col min="14081" max="14081" width="26.140625" style="261" customWidth="1"/>
    <col min="14082" max="14082" width="16.28515625" style="261" customWidth="1"/>
    <col min="14083" max="14083" width="9.140625" style="261"/>
    <col min="14084" max="14084" width="20.85546875" style="261" customWidth="1"/>
    <col min="14085" max="14085" width="10.140625" style="261" customWidth="1"/>
    <col min="14086" max="14336" width="9.140625" style="261"/>
    <col min="14337" max="14337" width="26.140625" style="261" customWidth="1"/>
    <col min="14338" max="14338" width="16.28515625" style="261" customWidth="1"/>
    <col min="14339" max="14339" width="9.140625" style="261"/>
    <col min="14340" max="14340" width="20.85546875" style="261" customWidth="1"/>
    <col min="14341" max="14341" width="10.140625" style="261" customWidth="1"/>
    <col min="14342" max="14592" width="9.140625" style="261"/>
    <col min="14593" max="14593" width="26.140625" style="261" customWidth="1"/>
    <col min="14594" max="14594" width="16.28515625" style="261" customWidth="1"/>
    <col min="14595" max="14595" width="9.140625" style="261"/>
    <col min="14596" max="14596" width="20.85546875" style="261" customWidth="1"/>
    <col min="14597" max="14597" width="10.140625" style="261" customWidth="1"/>
    <col min="14598" max="14848" width="9.140625" style="261"/>
    <col min="14849" max="14849" width="26.140625" style="261" customWidth="1"/>
    <col min="14850" max="14850" width="16.28515625" style="261" customWidth="1"/>
    <col min="14851" max="14851" width="9.140625" style="261"/>
    <col min="14852" max="14852" width="20.85546875" style="261" customWidth="1"/>
    <col min="14853" max="14853" width="10.140625" style="261" customWidth="1"/>
    <col min="14854" max="15104" width="9.140625" style="261"/>
    <col min="15105" max="15105" width="26.140625" style="261" customWidth="1"/>
    <col min="15106" max="15106" width="16.28515625" style="261" customWidth="1"/>
    <col min="15107" max="15107" width="9.140625" style="261"/>
    <col min="15108" max="15108" width="20.85546875" style="261" customWidth="1"/>
    <col min="15109" max="15109" width="10.140625" style="261" customWidth="1"/>
    <col min="15110" max="15360" width="9.140625" style="261"/>
    <col min="15361" max="15361" width="26.140625" style="261" customWidth="1"/>
    <col min="15362" max="15362" width="16.28515625" style="261" customWidth="1"/>
    <col min="15363" max="15363" width="9.140625" style="261"/>
    <col min="15364" max="15364" width="20.85546875" style="261" customWidth="1"/>
    <col min="15365" max="15365" width="10.140625" style="261" customWidth="1"/>
    <col min="15366" max="15616" width="9.140625" style="261"/>
    <col min="15617" max="15617" width="26.140625" style="261" customWidth="1"/>
    <col min="15618" max="15618" width="16.28515625" style="261" customWidth="1"/>
    <col min="15619" max="15619" width="9.140625" style="261"/>
    <col min="15620" max="15620" width="20.85546875" style="261" customWidth="1"/>
    <col min="15621" max="15621" width="10.140625" style="261" customWidth="1"/>
    <col min="15622" max="15872" width="9.140625" style="261"/>
    <col min="15873" max="15873" width="26.140625" style="261" customWidth="1"/>
    <col min="15874" max="15874" width="16.28515625" style="261" customWidth="1"/>
    <col min="15875" max="15875" width="9.140625" style="261"/>
    <col min="15876" max="15876" width="20.85546875" style="261" customWidth="1"/>
    <col min="15877" max="15877" width="10.140625" style="261" customWidth="1"/>
    <col min="15878" max="16128" width="9.140625" style="261"/>
    <col min="16129" max="16129" width="26.140625" style="261" customWidth="1"/>
    <col min="16130" max="16130" width="16.28515625" style="261" customWidth="1"/>
    <col min="16131" max="16131" width="9.140625" style="261"/>
    <col min="16132" max="16132" width="20.85546875" style="261" customWidth="1"/>
    <col min="16133" max="16133" width="10.140625" style="261" customWidth="1"/>
    <col min="16134" max="16384" width="9.140625" style="261"/>
  </cols>
  <sheetData>
    <row r="1" spans="1:17" ht="21" x14ac:dyDescent="0.35">
      <c r="A1" s="260" t="s">
        <v>184</v>
      </c>
    </row>
    <row r="3" spans="1:17" ht="45" x14ac:dyDescent="0.25">
      <c r="E3" s="262" t="s">
        <v>189</v>
      </c>
      <c r="F3" s="262" t="s">
        <v>190</v>
      </c>
      <c r="G3" s="262" t="s">
        <v>191</v>
      </c>
    </row>
    <row r="5" spans="1:17" x14ac:dyDescent="0.25">
      <c r="B5" s="263"/>
      <c r="D5" s="264" t="s">
        <v>172</v>
      </c>
      <c r="E5" s="265">
        <v>50000</v>
      </c>
      <c r="F5" s="265">
        <v>50000</v>
      </c>
      <c r="G5" s="265">
        <v>50000</v>
      </c>
    </row>
    <row r="6" spans="1:17" x14ac:dyDescent="0.25">
      <c r="A6" s="266" t="s">
        <v>173</v>
      </c>
      <c r="B6" s="267">
        <f>E5*E6</f>
        <v>750000</v>
      </c>
      <c r="C6" s="263"/>
      <c r="D6" s="264" t="s">
        <v>205</v>
      </c>
      <c r="E6" s="268">
        <v>15</v>
      </c>
      <c r="F6" s="268">
        <v>15</v>
      </c>
      <c r="G6" s="268">
        <v>15</v>
      </c>
      <c r="H6" s="263"/>
      <c r="M6" s="261" t="s">
        <v>183</v>
      </c>
      <c r="N6" s="269" t="s">
        <v>185</v>
      </c>
      <c r="P6" s="270"/>
    </row>
    <row r="7" spans="1:17" x14ac:dyDescent="0.25">
      <c r="A7" s="271"/>
      <c r="B7" s="272"/>
      <c r="D7" s="264" t="s">
        <v>214</v>
      </c>
      <c r="E7" s="268">
        <v>4000</v>
      </c>
      <c r="F7" s="268">
        <v>2000</v>
      </c>
      <c r="G7" s="268">
        <v>750</v>
      </c>
      <c r="H7" s="263"/>
    </row>
    <row r="8" spans="1:17" x14ac:dyDescent="0.25">
      <c r="A8" s="271" t="s">
        <v>174</v>
      </c>
      <c r="B8" s="273">
        <v>0.25</v>
      </c>
      <c r="C8" s="270"/>
      <c r="D8" s="264"/>
      <c r="E8" s="265"/>
      <c r="F8" s="265"/>
      <c r="G8" s="265"/>
      <c r="H8" s="263"/>
      <c r="M8" s="261" t="s">
        <v>179</v>
      </c>
      <c r="N8" s="269" t="s">
        <v>186</v>
      </c>
      <c r="Q8" s="261" t="s">
        <v>187</v>
      </c>
    </row>
    <row r="9" spans="1:17" x14ac:dyDescent="0.25">
      <c r="A9" s="271"/>
      <c r="B9" s="272"/>
      <c r="D9" s="264" t="s">
        <v>175</v>
      </c>
      <c r="E9" s="292">
        <f>$B$8*E7</f>
        <v>1000</v>
      </c>
      <c r="F9" s="292">
        <f>$B$8*F7</f>
        <v>500</v>
      </c>
      <c r="G9" s="292">
        <f>$B$8*G7</f>
        <v>187.5</v>
      </c>
      <c r="H9" s="263"/>
    </row>
    <row r="10" spans="1:17" x14ac:dyDescent="0.25">
      <c r="A10" s="271" t="s">
        <v>177</v>
      </c>
      <c r="B10" s="274">
        <v>1.4999999999999999E-2</v>
      </c>
      <c r="D10" s="264" t="s">
        <v>176</v>
      </c>
      <c r="E10" s="268">
        <v>800000</v>
      </c>
      <c r="F10" s="268">
        <v>300000</v>
      </c>
      <c r="G10" s="268">
        <v>35000</v>
      </c>
      <c r="H10" s="270"/>
    </row>
    <row r="11" spans="1:17" x14ac:dyDescent="0.25">
      <c r="A11" s="271"/>
      <c r="B11" s="272"/>
      <c r="D11" s="264" t="s">
        <v>178</v>
      </c>
      <c r="E11" s="275">
        <f>(M19-E10)/E10</f>
        <v>-0.3043230915576832</v>
      </c>
      <c r="F11" s="275">
        <f>(M20-F10)/F10</f>
        <v>-0.07243078874357763</v>
      </c>
      <c r="G11" s="275">
        <f>(M21-G10)/G10</f>
        <v>1.981472464752786</v>
      </c>
      <c r="M11" s="261" t="s">
        <v>181</v>
      </c>
      <c r="N11" s="269" t="s">
        <v>188</v>
      </c>
    </row>
    <row r="12" spans="1:17" x14ac:dyDescent="0.25">
      <c r="A12" s="276" t="s">
        <v>180</v>
      </c>
      <c r="B12" s="277">
        <v>0.04</v>
      </c>
      <c r="D12" s="264" t="s">
        <v>179</v>
      </c>
      <c r="E12" s="278">
        <f>IRR(B19:L19)</f>
        <v>-0.05988974539025188</v>
      </c>
      <c r="F12" s="278">
        <f>IRR(B20:L20)</f>
        <v>-0.013156262893152804</v>
      </c>
      <c r="G12" s="278">
        <f>IRR(B21:L21)</f>
        <v>0.26202817505033316</v>
      </c>
    </row>
    <row r="13" spans="1:17" x14ac:dyDescent="0.25">
      <c r="D13" s="264" t="s">
        <v>181</v>
      </c>
      <c r="E13" s="265">
        <f>NPV($B$12,C19:L19)+B19</f>
        <v>-350761.17952076683</v>
      </c>
      <c r="F13" s="265">
        <f>NPV($B$12,C20:L20)+B20</f>
        <v>-75380.58976038342</v>
      </c>
      <c r="G13" s="265">
        <f>NPV($B$12,C21:L21)+B21</f>
        <v>49232.27883985622</v>
      </c>
    </row>
    <row r="14" spans="1:17" x14ac:dyDescent="0.25">
      <c r="A14" s="271" t="inlineStr">
        <is>
          <t>Weeks per Year</t>
        </is>
      </c>
      <c r="B14" s="272">
        <v>52</v>
      </c>
    </row>
    <row r="18" spans="1:13" ht="15.75" thickBot="1" x14ac:dyDescent="0.3">
      <c r="A18" s="279" t="s">
        <v>182</v>
      </c>
      <c r="B18" s="280" t="s">
        <v>192</v>
      </c>
      <c r="C18" s="280" t="s">
        <v>193</v>
      </c>
      <c r="D18" s="280" t="s">
        <v>194</v>
      </c>
      <c r="E18" s="280" t="s">
        <v>195</v>
      </c>
      <c r="F18" s="280" t="s">
        <v>196</v>
      </c>
      <c r="G18" s="280" t="s">
        <v>197</v>
      </c>
      <c r="H18" s="280" t="s">
        <v>198</v>
      </c>
      <c r="I18" s="280" t="s">
        <v>199</v>
      </c>
      <c r="J18" s="280" t="s">
        <v>200</v>
      </c>
      <c r="K18" s="280" t="s">
        <v>201</v>
      </c>
      <c r="L18" s="280" t="s">
        <v>202</v>
      </c>
      <c r="M18" s="280" t="s">
        <v>215</v>
      </c>
    </row>
    <row r="19" spans="1:13" x14ac:dyDescent="0.25">
      <c r="A19" s="281" t="s">
        <v>189</v>
      </c>
      <c r="B19" s="282">
        <f>-E10</f>
        <v>-800000</v>
      </c>
      <c r="C19" s="283">
        <f>E9*$B$14</f>
        <v>52000</v>
      </c>
      <c r="D19" s="283">
        <f>C19*(1+$B$10)</f>
        <v>52779.99999999999</v>
      </c>
      <c r="E19" s="283">
        <f>D19*(1+$B$10)</f>
        <v>53571.69999999999</v>
      </c>
      <c r="F19" s="283">
        <f>E19*(1+$B$10)</f>
        <v>54375.27549999998</v>
      </c>
      <c r="G19" s="283">
        <f>F19*(1+$B$10)</f>
        <v>55190.90463249997</v>
      </c>
      <c r="H19" s="283">
        <f>G19*(1+$B$10)</f>
        <v>56018.76820198747</v>
      </c>
      <c r="I19" s="283">
        <f>H19*(1+$B$10)</f>
        <v>56859.04972501728</v>
      </c>
      <c r="J19" s="283">
        <f>I19*(1+$B$10)</f>
        <v>57711.93547089253</v>
      </c>
      <c r="K19" s="283">
        <f>J19*(1+$B$10)</f>
        <v>58577.61450295591</v>
      </c>
      <c r="L19" s="283">
        <f>K19*(1+$B$10)</f>
        <v>59456.278720500246</v>
      </c>
      <c r="M19" s="284">
        <f>SUM(C19:L19)</f>
        <v>556541.5267538534</v>
      </c>
    </row>
    <row r="20" spans="1:13" x14ac:dyDescent="0.25">
      <c r="A20" s="281" t="s">
        <v>190</v>
      </c>
      <c r="B20" s="282">
        <f>-F10</f>
        <v>-300000</v>
      </c>
      <c r="C20" s="283">
        <f>F9*$B$14</f>
        <v>26000</v>
      </c>
      <c r="D20" s="283">
        <f>C20*(1+$B$10)</f>
        <v>26389.999999999996</v>
      </c>
      <c r="E20" s="283">
        <f>D20*(1+$B$10)</f>
        <v>26785.849999999995</v>
      </c>
      <c r="F20" s="283">
        <f>E20*(1+$B$10)</f>
        <v>27187.63774999999</v>
      </c>
      <c r="G20" s="283">
        <f>F20*(1+$B$10)</f>
        <v>27595.452316249986</v>
      </c>
      <c r="H20" s="283">
        <f>G20*(1+$B$10)</f>
        <v>28009.384100993735</v>
      </c>
      <c r="I20" s="283">
        <f>H20*(1+$B$10)</f>
        <v>28429.52486250864</v>
      </c>
      <c r="J20" s="283">
        <f>I20*(1+$B$10)</f>
        <v>28855.967735446266</v>
      </c>
      <c r="K20" s="283">
        <f>J20*(1+$B$10)</f>
        <v>29288.807251477956</v>
      </c>
      <c r="L20" s="283">
        <f>K20*(1+$B$10)</f>
        <v>29728.139360250123</v>
      </c>
      <c r="M20" s="284">
        <f>SUM(C20:L20)</f>
        <v>278270.7633769267</v>
      </c>
    </row>
    <row r="21" spans="1:13" x14ac:dyDescent="0.25">
      <c r="A21" s="281" t="s">
        <v>191</v>
      </c>
      <c r="B21" s="282">
        <f>-G10</f>
        <v>-35000</v>
      </c>
      <c r="C21" s="283">
        <f>G9*$B$14</f>
        <v>9750.0</v>
      </c>
      <c r="D21" s="283">
        <f>C21*(1+$B$10)</f>
        <v>9896.249999999998</v>
      </c>
      <c r="E21" s="283">
        <f>D21*(1+$B$10)</f>
        <v>10044.693749999997</v>
      </c>
      <c r="F21" s="283">
        <f>E21*(1+$B$10)</f>
        <v>10195.364156249996</v>
      </c>
      <c r="G21" s="283">
        <f>F21*(1+$B$10)</f>
        <v>10348.294618593745</v>
      </c>
      <c r="H21" s="283">
        <f>G21*(1+$B$10)</f>
        <v>10503.519037872651</v>
      </c>
      <c r="I21" s="283">
        <f>H21*(1+$B$10)</f>
        <v>10661.07182344074</v>
      </c>
      <c r="J21" s="283">
        <f>I21*(1+$B$10)</f>
        <v>10820.98790079235</v>
      </c>
      <c r="K21" s="283">
        <f>J21*(1+$B$10)</f>
        <v>10983.302719304234</v>
      </c>
      <c r="L21" s="283">
        <f>K21*(1+$B$10)</f>
        <v>11148.052260093797</v>
      </c>
      <c r="M21" s="284">
        <f>SUM(C21:L21)</f>
        <v>104351.53626634751</v>
      </c>
    </row>
    <row r="31" spans="1:13" ht="16.5" x14ac:dyDescent="0.25">
      <c r="D31" s="28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41175F-8584-48BA-BA89-060FF25058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DCF</vt:lpstr>
      <vt:lpstr>DCF (Filled In)</vt:lpstr>
      <vt:lpstr>DCF Analysis (Blank)</vt:lpstr>
      <vt:lpstr>Income Statement</vt:lpstr>
      <vt:lpstr>Cash Flow Statement</vt:lpstr>
      <vt:lpstr>Project Investment Example 1</vt:lpstr>
      <vt:lpstr>'Cash Flow Statement'!Print_Area</vt:lpstr>
      <vt:lpstr>'Income Statement'!Print_Area</vt:lpstr>
      <vt:lpstr>'Income Statement'!Print_Titles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dc:creator>
  <cp:lastModifiedBy>G-ITPUBLIC</cp:lastModifiedBy>
  <dcterms:created xsi:type="dcterms:W3CDTF">2006-06-04T11:56:43Z</dcterms:created>
  <dcterms:modified xsi:type="dcterms:W3CDTF">2023-03-22T00:21:57Z</dcterms:modified>
</cp:coreProperties>
</file>